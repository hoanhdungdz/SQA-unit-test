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Account" sheetId="2" r:id="rId6"/>
    <sheet state="visible" name="Bookings" sheetId="3" r:id="rId7"/>
    <sheet state="visible" name="Hotels" sheetId="4" r:id="rId8"/>
    <sheet state="visible" name="AI Chatbot" sheetId="5" r:id="rId9"/>
    <sheet state="visible" name="Code Coverage" sheetId="6" r:id="rId10"/>
    <sheet state="visible" name="Execution Report" sheetId="7" r:id="rId11"/>
  </sheets>
  <definedNames/>
  <calcPr/>
</workbook>
</file>

<file path=xl/sharedStrings.xml><?xml version="1.0" encoding="utf-8"?>
<sst xmlns="http://schemas.openxmlformats.org/spreadsheetml/2006/main" count="706" uniqueCount="473">
  <si>
    <t>UNIT TESTING REPORT</t>
  </si>
  <si>
    <t>TC ID</t>
  </si>
  <si>
    <t>Test Objective</t>
  </si>
  <si>
    <t>Method Under Test</t>
  </si>
  <si>
    <t>Technique</t>
  </si>
  <si>
    <t>Pre-condition</t>
  </si>
  <si>
    <t>Input Data</t>
  </si>
  <si>
    <t>Expected Output</t>
  </si>
  <si>
    <t>CheckDB</t>
  </si>
  <si>
    <t>Status</t>
  </si>
  <si>
    <t>Notes</t>
  </si>
  <si>
    <t>TC_BKG_BE_01</t>
  </si>
  <si>
    <t>Auto generate booking code</t>
  </si>
  <si>
    <t>TC_ACC_BE_01</t>
  </si>
  <si>
    <t>Booking.save</t>
  </si>
  <si>
    <t>Valid Registration</t>
  </si>
  <si>
    <t>Statement Coverage</t>
  </si>
  <si>
    <t>RegisterView.create</t>
  </si>
  <si>
    <t>Valid user exists</t>
  </si>
  <si>
    <t>Branch Coverage</t>
  </si>
  <si>
    <t>service_type=HOTEL</t>
  </si>
  <si>
    <t>Booking saved. booking_code generated</t>
  </si>
  <si>
    <t>Empty DB</t>
  </si>
  <si>
    <t>Booking exists, booking_code not null</t>
  </si>
  <si>
    <t>Valid user data, phone=0987654321</t>
  </si>
  <si>
    <t>Passed</t>
  </si>
  <si>
    <t>HTTP 201. isSuccess=True</t>
  </si>
  <si>
    <t>User count increases by 1</t>
  </si>
  <si>
    <t>Verify auto code generation branch</t>
  </si>
  <si>
    <t>TC_BKG_BE_02</t>
  </si>
  <si>
    <t>Serializer assigns user and creates guest info</t>
  </si>
  <si>
    <t>TC_ACC_BE_02</t>
  </si>
  <si>
    <t>BookingSerializer.create</t>
  </si>
  <si>
    <t>Reg Fail - Duplicate Email</t>
  </si>
  <si>
    <t>Authenticated user</t>
  </si>
  <si>
    <t>Email existing@agoda.com exists</t>
  </si>
  <si>
    <t>guest_info valid, service_type=HOTEL</t>
  </si>
  <si>
    <t>Data with existing email</t>
  </si>
  <si>
    <t>Booking created with current user and guest info</t>
  </si>
  <si>
    <t>HTTP 400. isSuccess=False</t>
  </si>
  <si>
    <t>Booking + GuestInfo created</t>
  </si>
  <si>
    <t>TC_HTL_BE_B_01</t>
  </si>
  <si>
    <t>Count stays same. No junk data.</t>
  </si>
  <si>
    <t>Project</t>
  </si>
  <si>
    <t>Return hotel name string representation correctly</t>
  </si>
  <si>
    <t>Check nested guest creation</t>
  </si>
  <si>
    <t>Hotel.__str__</t>
  </si>
  <si>
    <t>Agoda Travel Website</t>
  </si>
  <si>
    <t>TC_BKG_BE_03</t>
  </si>
  <si>
    <t>Positive path</t>
  </si>
  <si>
    <t>TC_ACC_BE_03</t>
  </si>
  <si>
    <t>Reject invalid room date range</t>
  </si>
  <si>
    <t>validate_phone: non-digit</t>
  </si>
  <si>
    <t>Hotel instance is created in memory with name="Sunrise Hotel"</t>
  </si>
  <si>
    <t>RoomBookingDetailCreateSerializer.validate</t>
  </si>
  <si>
    <t>RegisterSerializer.validate_phone_number</t>
  </si>
  <si>
    <t>hotel object</t>
  </si>
  <si>
    <t>Condition Coverage</t>
  </si>
  <si>
    <t>Method returns "Sunrise Hotel"</t>
  </si>
  <si>
    <t>None</t>
  </si>
  <si>
    <t>Valid room exists</t>
  </si>
  <si>
    <t>phone='abc12345'</t>
  </si>
  <si>
    <t>check_in &gt; check_out</t>
  </si>
  <si>
    <t>No DB change</t>
  </si>
  <si>
    <t>Validation error. Check-out after check-in required</t>
  </si>
  <si>
    <t>HTTP 400. Phone error msg</t>
  </si>
  <si>
    <t>Framework / Stack</t>
  </si>
  <si>
    <t>Django REST Framework</t>
  </si>
  <si>
    <t>Negative date validation</t>
  </si>
  <si>
    <t>TC_HTL_BE_B_02</t>
  </si>
  <si>
    <t>TC_ACC_BE_04</t>
  </si>
  <si>
    <t>Update min_price from available rooms only</t>
  </si>
  <si>
    <t>TC_BKG_BE_04</t>
  </si>
  <si>
    <t>validate_phone: wrong length</t>
  </si>
  <si>
    <t>Hotel.update_min_price</t>
  </si>
  <si>
    <t>Reject guest count over room capacity</t>
  </si>
  <si>
    <t>Equivalence partitioning</t>
  </si>
  <si>
    <t>A hotel has multiple related Room records; some available=True, some available=False</t>
  </si>
  <si>
    <t>Boundary Value</t>
  </si>
  <si>
    <t>Available room prices: 100, 150; unavailable room price: 80</t>
  </si>
  <si>
    <t>phone='098765'</t>
  </si>
  <si>
    <t>Room capacity known</t>
  </si>
  <si>
    <t>hotel.min_price is updated to 125 (average of available rooms only)</t>
  </si>
  <si>
    <t>num_guests &gt; capacity</t>
  </si>
  <si>
    <t>HTTP 400. Length error msg</t>
  </si>
  <si>
    <t>Hotel.min_price is updated in DB; related Room rows unchanged</t>
  </si>
  <si>
    <t>Testing Framework</t>
  </si>
  <si>
    <t>TC_HTL_BE_B_03</t>
  </si>
  <si>
    <t>PyTest (Backend)</t>
  </si>
  <si>
    <t>Set min_price to 0 when no available room exists</t>
  </si>
  <si>
    <t>TC_ACC_BE_05</t>
  </si>
  <si>
    <t>Login Success</t>
  </si>
  <si>
    <t>Negative / edge case</t>
  </si>
  <si>
    <t>LoginView.post</t>
  </si>
  <si>
    <t>A hotel has no related room with available=True</t>
  </si>
  <si>
    <t>Validation error for capacity exceeded</t>
  </si>
  <si>
    <t>Hotel with zero available rooms</t>
  </si>
  <si>
    <t>User 'testuser' exists</t>
  </si>
  <si>
    <t>hotel.min_price becomes 0</t>
  </si>
  <si>
    <t>Correct credentials</t>
  </si>
  <si>
    <t>Hotel.min_price is updated in DB to 0; no other DB change</t>
  </si>
  <si>
    <t>Test upper bound of room capacity</t>
  </si>
  <si>
    <t>HTTP 200. isSuccess=True. Token returned</t>
  </si>
  <si>
    <t>Audit logs updated</t>
  </si>
  <si>
    <t>TC_BKG_BE_05</t>
  </si>
  <si>
    <t>Create hotel booking updates totals and inventory</t>
  </si>
  <si>
    <t>TC_HTL_BE_B_04</t>
  </si>
  <si>
    <t>BookingViewSet.create</t>
  </si>
  <si>
    <t>Calculate positive sentiment score correctly</t>
  </si>
  <si>
    <t>TC_ACC_BE_06</t>
  </si>
  <si>
    <t>Functional</t>
  </si>
  <si>
    <t>Hotel.sentiment_score</t>
  </si>
  <si>
    <t>Login Fail - Wrong Pass</t>
  </si>
  <si>
    <t>Auth user, room available</t>
  </si>
  <si>
    <t>Valid hotel booking payload</t>
  </si>
  <si>
    <t>Hotel statistics are set</t>
  </si>
  <si>
    <t>HTTP 201. Booking created successfully</t>
  </si>
  <si>
    <t>total_positive=8, total_negative=2, total_neutral=0</t>
  </si>
  <si>
    <t>Booking totals set, room stock decreases by 1</t>
  </si>
  <si>
    <t>Wrong password</t>
  </si>
  <si>
    <t>Property returns (8 - 2) / (10 + 1)</t>
  </si>
  <si>
    <t>HTTP 200. isSuccess=False. No token</t>
  </si>
  <si>
    <t>No side-effects</t>
  </si>
  <si>
    <t>Covers booking create flow</t>
  </si>
  <si>
    <t>TC_HTL_BE_B_05</t>
  </si>
  <si>
    <t>TC_BKG_BE_06</t>
  </si>
  <si>
    <t>TC_ACC_BE_07</t>
  </si>
  <si>
    <t>Avoid division-by-zero in sentiment score when all counters are zero</t>
  </si>
  <si>
    <t>Refund returns partial amount by percentage</t>
  </si>
  <si>
    <t>Logout missing token</t>
  </si>
  <si>
    <t>BookingViewSet.calculate_refund_amoun</t>
  </si>
  <si>
    <t>LogoutView.post</t>
  </si>
  <si>
    <t>Coverage Tool</t>
  </si>
  <si>
    <t>Path Coverage</t>
  </si>
  <si>
    <t>pytest-cov</t>
  </si>
  <si>
    <t>Hotel statistics are all zero</t>
  </si>
  <si>
    <t>Logged in</t>
  </si>
  <si>
    <t>Booking + partial refund policy exist</t>
  </si>
  <si>
    <t>Empty JSON</t>
  </si>
  <si>
    <t>total_positive=0, total_negative=0, total_neutral=0</t>
  </si>
  <si>
    <t>final_price=400, refund_percentage=25</t>
  </si>
  <si>
    <t>HTTP 400. Refresh token required</t>
  </si>
  <si>
    <t>Property returns 0</t>
  </si>
  <si>
    <t>Refund amount = 100</t>
  </si>
  <si>
    <t>RefundPolicy exists and used</t>
  </si>
  <si>
    <t>Verify percentage calculation</t>
  </si>
  <si>
    <t>TC_ACC_BE_08</t>
  </si>
  <si>
    <t>TC_BKG_BE_07</t>
  </si>
  <si>
    <t>Logout success -&gt; Blacklist</t>
  </si>
  <si>
    <t>TC_HTL_BE_B_06</t>
  </si>
  <si>
    <t>Refund returns full final price when no policy</t>
  </si>
  <si>
    <t>Compute click score using logarithmic formula</t>
  </si>
  <si>
    <t>BookingViewSet.calculate_refund_amount</t>
  </si>
  <si>
    <t>Hotel.click_score</t>
  </si>
  <si>
    <t>Logged in, valid refresh</t>
  </si>
  <si>
    <t>Valid refresh token</t>
  </si>
  <si>
    <t>Booking exists, no refund policy</t>
  </si>
  <si>
    <t>HTTP 200. Logged out successfully</t>
  </si>
  <si>
    <t>Hotel has click counter value</t>
  </si>
  <si>
    <t>final_price=350</t>
  </si>
  <si>
    <t>Token added to Blacklist table</t>
  </si>
  <si>
    <t>total_click=99</t>
  </si>
  <si>
    <t>Refund amount = 350</t>
  </si>
  <si>
    <t>Property returns log(100)</t>
  </si>
  <si>
    <t>TC_ACC_BE_09</t>
  </si>
  <si>
    <t>Soft Delete Logic</t>
  </si>
  <si>
    <t>Default refund branch</t>
  </si>
  <si>
    <t>UserDeleteView.perform_destroy</t>
  </si>
  <si>
    <t>TC_BKG_BE_08</t>
  </si>
  <si>
    <t>TC_HTL_BE_B_07</t>
  </si>
  <si>
    <t>Cancel paid booking marks refunded</t>
  </si>
  <si>
    <t>Active user exists</t>
  </si>
  <si>
    <t>1.1 Tools and Libraries</t>
  </si>
  <si>
    <t>Compute combined weighted score from avg star, click score, and sentiment score</t>
  </si>
  <si>
    <t>BookingViewSet.cancel_booking</t>
  </si>
  <si>
    <t>DELETE request</t>
  </si>
  <si>
    <t>Hotel.calc_total_weighted_score</t>
  </si>
  <si>
    <t>HTTP 200. isSuccess=True</t>
  </si>
  <si>
    <t>Confirmed paid booking exists</t>
  </si>
  <si>
    <t>Decision formula</t>
  </si>
  <si>
    <t>Record exists; is_active = False</t>
  </si>
  <si>
    <t>cancel booking request</t>
  </si>
  <si>
    <t>Hotel has valid avg_star, total_click, and sentiment counters</t>
  </si>
  <si>
    <t>HTTP 200. Booking cancelled and refunded</t>
  </si>
  <si>
    <t>avg_star=4.5, total_click=9, total_positive=3, total_negative=1, total_neutral=0</t>
  </si>
  <si>
    <t>Booking=CANCELLED, Payment=REFUNDED, refund_amount set</t>
  </si>
  <si>
    <t>TC_ACC_BE_10</t>
  </si>
  <si>
    <t>Property returns 0.6*avg_star + 0.3*click_score + 0.1*sentiment_score</t>
  </si>
  <si>
    <t>Update with Password</t>
  </si>
  <si>
    <t>Covers cancel paid flow</t>
  </si>
  <si>
    <t>UserUpdateView.update</t>
  </si>
  <si>
    <t>TC_BKG_BE_09</t>
  </si>
  <si>
    <t>Reject cancel completed booking</t>
  </si>
  <si>
    <t>User exists</t>
  </si>
  <si>
    <t>TC_HTL_BE_B_08</t>
  </si>
  <si>
    <t>PATCH body with new password</t>
  </si>
  <si>
    <t>Persist total weighted score to database</t>
  </si>
  <si>
    <t>Negative Testing</t>
  </si>
  <si>
    <t>Completed booking exists</t>
  </si>
  <si>
    <t>Password hash changed in DB</t>
  </si>
  <si>
    <t>Tool / Library</t>
  </si>
  <si>
    <t>Version</t>
  </si>
  <si>
    <t>HTTP 400. Cannot cancel completed booking</t>
  </si>
  <si>
    <t>Purpose</t>
  </si>
  <si>
    <t>Booking status unchanged</t>
  </si>
  <si>
    <t>Hotel.update_total_weighted_score</t>
  </si>
  <si>
    <t>Protect completed booking state</t>
  </si>
  <si>
    <t>TC_BKG_BE_10</t>
  </si>
  <si>
    <t>Hotel exists and has metrics producing a non-zero weighted score</t>
  </si>
  <si>
    <t>Rebook cancelled booking creates new booking</t>
  </si>
  <si>
    <t>Existing persisted Hotel object</t>
  </si>
  <si>
    <t>BookingViewSet.rebook_booking</t>
  </si>
  <si>
    <t>hotel.total_weighted_score equals hotel.calc_total_weighted_score after method call</t>
  </si>
  <si>
    <t>Hotel.total_weighted_score is updated in DB</t>
  </si>
  <si>
    <t>Cancelled hotel booking exists</t>
  </si>
  <si>
    <t>PyTest</t>
  </si>
  <si>
    <t>9.0.2</t>
  </si>
  <si>
    <t>rebook request</t>
  </si>
  <si>
    <t>Primary test runner for Backend (agoda-be)</t>
  </si>
  <si>
    <t>HTTP 201. New booking created</t>
  </si>
  <si>
    <t>Concise syntax; integrated reporting.</t>
  </si>
  <si>
    <t>Old booking=REBOOKED, new booking=PENDING</t>
  </si>
  <si>
    <t>TC_HTL_BE_B_09</t>
  </si>
  <si>
    <t>Save hotel with fallback weighted score when score calculation raises exception</t>
  </si>
  <si>
    <t>Covers rebook flow</t>
  </si>
  <si>
    <t>Hotel.save</t>
  </si>
  <si>
    <t>Negative / exception handling</t>
  </si>
  <si>
    <t>calc_total_weighted_score is mocked to raise an exception</t>
  </si>
  <si>
    <t>Call hotel.save()</t>
  </si>
  <si>
    <t>Save succeeds and total_weighted_score is set to 0.0</t>
  </si>
  <si>
    <t>New or updated Hotel row stores total_weighted_score=0.0</t>
  </si>
  <si>
    <t>pytest-django</t>
  </si>
  <si>
    <t>4.12.0</t>
  </si>
  <si>
    <t>Bridge between PyTest and Django ORM</t>
  </si>
  <si>
    <t>TC_HTL_BE_B_10</t>
  </si>
  <si>
    <t>Provides @pytest.mark.django_db for auto rollback.</t>
  </si>
  <si>
    <t>Return first image as thumbnail when hotel has images</t>
  </si>
  <si>
    <t>HotelSimpleSerializer.get_thumbnail</t>
  </si>
  <si>
    <t>Hotel has at least one related HotelImage</t>
  </si>
  <si>
    <t>Hotel with first image path /media/hotel_images/a.jpg</t>
  </si>
  <si>
    <t>Method returns /media/hotel_images/a.jpg</t>
  </si>
  <si>
    <t>7.1.0</t>
  </si>
  <si>
    <t>Measure Branch &amp; Statement Coverage</t>
  </si>
  <si>
    <t>TC_HTL_BE_B_11</t>
  </si>
  <si>
    <t>Generates HTML reports for Section 1.6.</t>
  </si>
  <si>
    <t>Return None as thumbnail when hotel has no images</t>
  </si>
  <si>
    <t>Hotel has no related HotelImage</t>
  </si>
  <si>
    <t>Hotel without images</t>
  </si>
  <si>
    <t>Django ORM</t>
  </si>
  <si>
    <t>Method returns None</t>
  </si>
  <si>
    <t>built-in</t>
  </si>
  <si>
    <t>CheckDB - Query DB to verify data post-test</t>
  </si>
  <si>
    <t>Ensures compliance with DB integrity requirements.</t>
  </si>
  <si>
    <t>TC_HTL_BE_B_12</t>
  </si>
  <si>
    <t>Return serialized owner data when hotel owner exists</t>
  </si>
  <si>
    <t>HotelSerializer.get_owner</t>
  </si>
  <si>
    <t>Positive path with mocking</t>
  </si>
  <si>
    <t>Hotel has owner; accounts.serializers.UserSerializer is mocked</t>
  </si>
  <si>
    <t>SimpleJWT</t>
  </si>
  <si>
    <t>5.x</t>
  </si>
  <si>
    <t>Hotel with valid owner object</t>
  </si>
  <si>
    <t>JWT token logic testing</t>
  </si>
  <si>
    <t>Used in Login and Logout tests.</t>
  </si>
  <si>
    <t>Method returns mocked serialized owner payload</t>
  </si>
  <si>
    <t>TC_HTL_BE_B_13</t>
  </si>
  <si>
    <t>Return None when hotel owner is missing</t>
  </si>
  <si>
    <t>RequestFactory</t>
  </si>
  <si>
    <t>Create mock HTTP requests</t>
  </si>
  <si>
    <t>Allows Whitebox testing of view logic without a server.</t>
  </si>
  <si>
    <t>Negative path</t>
  </si>
  <si>
    <t>Hotel has owner=None</t>
  </si>
  <si>
    <t>Hotel object without owner</t>
  </si>
  <si>
    <t>TC_HTL_BE_B_14</t>
  </si>
  <si>
    <t>Reject interaction upsert when hotel_id is missing</t>
  </si>
  <si>
    <t>UserHotelInteractionUpsertView.post</t>
  </si>
  <si>
    <t>1.2a Scope of Testing</t>
  </si>
  <si>
    <t>Negative / validation</t>
  </si>
  <si>
    <t>Authenticated user is present in request</t>
  </si>
  <si>
    <t>POST body without hotel_id</t>
  </si>
  <si>
    <t>HTTP 400, response message is "Missing hotel_id"</t>
  </si>
  <si>
    <t>Category</t>
  </si>
  <si>
    <t>TC_HTL_BE_B_15</t>
  </si>
  <si>
    <t>File</t>
  </si>
  <si>
    <t>Create or update interaction and refresh hotel aggregate counters correctly</t>
  </si>
  <si>
    <t>Class / Method Under Test</t>
  </si>
  <si>
    <t>Reason</t>
  </si>
  <si>
    <t>Authenticated user exists; target hotel exists; no prior interaction or one prior interaction is prepared</t>
  </si>
  <si>
    <t>hotel_id=&lt;existing id&gt;, click_count=5, positive_count=2, negative_count=1, neutral_count=0</t>
  </si>
  <si>
    <t>HTTP 200; response isSuccess=true; interaction weighted_score is recalculated</t>
  </si>
  <si>
    <t>UserHotelInteraction row is created/updated; Hotel.total_click, total_positive, total_negative, total_neutral, and total_weighted_score are updated in DB</t>
  </si>
  <si>
    <t>Accounts</t>
  </si>
  <si>
    <t>accounts/views.py</t>
  </si>
  <si>
    <t>Validate serializer.is_valid() logic.</t>
  </si>
  <si>
    <t>Validate authenticate() logic.</t>
  </si>
  <si>
    <t>CODE COVERAGE REPORT (generated by Coverage.py / pytest-cov)</t>
  </si>
  <si>
    <t>Module / File</t>
  </si>
  <si>
    <t>Statements</t>
  </si>
  <si>
    <t>Missed</t>
  </si>
  <si>
    <t>Verify token validation &amp; blacklist.</t>
  </si>
  <si>
    <t>Branches</t>
  </si>
  <si>
    <t>TC_BOT_BE_01</t>
  </si>
  <si>
    <t>Branch Miss</t>
  </si>
  <si>
    <t>Verify that ask_chatbot returns HTTP 400 when the question field is missing from the request body.</t>
  </si>
  <si>
    <t>Coverage %</t>
  </si>
  <si>
    <t>ask_chatbot</t>
  </si>
  <si>
    <t>Screenshot / Notes</t>
  </si>
  <si>
    <t>POST body: {"chatid": "abc123"}</t>
  </si>
  <si>
    <t>HTTP 400. error: "question and chatid are required"</t>
  </si>
  <si>
    <t>No DB side-effect. Count unchanged.</t>
  </si>
  <si>
    <t>Verify Soft Delete (is_active=False).</t>
  </si>
  <si>
    <t>Validate password hashing logic.</t>
  </si>
  <si>
    <t>accounts/serializers.py</t>
  </si>
  <si>
    <t>Validate phone format &amp; length.</t>
  </si>
  <si>
    <t xml:space="preserve">UNIT TEST EXECUTION REPORT </t>
  </si>
  <si>
    <t>Bookings</t>
  </si>
  <si>
    <t>bookings/models.py</t>
  </si>
  <si>
    <t>Verify auto-generation of booking code.</t>
  </si>
  <si>
    <t>Module</t>
  </si>
  <si>
    <t>bookings/serializers.py</t>
  </si>
  <si>
    <t>Verify nested guest creation logic.</t>
  </si>
  <si>
    <t>Validate date range and capacity.</t>
  </si>
  <si>
    <t>bookings/views.py</t>
  </si>
  <si>
    <t>Verify full booking creation flow.</t>
  </si>
  <si>
    <t>Verify refund percentage logic.</t>
  </si>
  <si>
    <t>Verify refund calculation logic.</t>
  </si>
  <si>
    <t>Verify rebooking state logic.</t>
  </si>
  <si>
    <t>TC_BOT_BE_02</t>
  </si>
  <si>
    <t>Verify that ask_chatbot returns HTTP 400 when the chatid field is missing from the request body.</t>
  </si>
  <si>
    <t>Total TCs</t>
  </si>
  <si>
    <t>Pass</t>
  </si>
  <si>
    <t>POST body: {"question": "Which hotel is in Da Nang?"}</t>
  </si>
  <si>
    <t>Fail</t>
  </si>
  <si>
    <t>Pending</t>
  </si>
  <si>
    <t>Pass Rate</t>
  </si>
  <si>
    <t>Hotels</t>
  </si>
  <si>
    <t>Key Failures / Notes</t>
  </si>
  <si>
    <t>hotels/models.py</t>
  </si>
  <si>
    <t>Screenshot Ref</t>
  </si>
  <si>
    <t>Verify model string representation.</t>
  </si>
  <si>
    <t>TC_BOT_BE_03</t>
  </si>
  <si>
    <t>Account</t>
  </si>
  <si>
    <t>Verify that create_new_chat returns HTTP 400 when user_id is not provided.</t>
  </si>
  <si>
    <t>create_new_chat</t>
  </si>
  <si>
    <t>POST body: {}</t>
  </si>
  <si>
    <t>HTTP 400. error: "user_id is required"</t>
  </si>
  <si>
    <t>No DB side-effect.</t>
  </si>
  <si>
    <t>TC_BOT_BE_04</t>
  </si>
  <si>
    <t>Many Views are out of the 10 TC scope (e.g. RefreshTokenView, UserListView).</t>
  </si>
  <si>
    <t>Screenshot</t>
  </si>
  <si>
    <t>Verify that create_new_chat returns HTTP 404 when the provided user_id does not exist in the database.</t>
  </si>
  <si>
    <t>Verify room price aggregation.</t>
  </si>
  <si>
    <t>No user exists with id=99999.</t>
  </si>
  <si>
    <t>POST body: {"user_id": 99999}</t>
  </si>
  <si>
    <t>HTTP 404. error: "User not found"</t>
  </si>
  <si>
    <t>CheckDB: CustomUser.objects.filter(id=99999).exists() returns False.</t>
  </si>
  <si>
    <t>RegisterSerializer and UserAndPasswordSerializer partially covered. Some update branches are out of scope.</t>
  </si>
  <si>
    <t>TC_BOT_BE_05</t>
  </si>
  <si>
    <t>Verify that create_new_chat returns the existing chat_id without creating a new one when the user already has a chat_id.</t>
  </si>
  <si>
    <t>Validate sentiment formula.</t>
  </si>
  <si>
    <t>accounts/models.py</t>
  </si>
  <si>
    <t>User exists with chat_id = "existing-chat-abc123".</t>
  </si>
  <si>
    <t>POST body: {"user_id": &lt;user_id&gt;}</t>
  </si>
  <si>
    <t>HTTP 200. message: "Chat already exists". chatid == "existing-chat-abc123".</t>
  </si>
  <si>
    <t>CheckDB: user.chat_id remains unchanged after the call (not overwritten).</t>
  </si>
  <si>
    <t>Missed: line 91 — a __str__ helper method not called by any tested endpoint.</t>
  </si>
  <si>
    <t>TC_BOT_BE_06</t>
  </si>
  <si>
    <t>Verify that get_messages returns HTTP 400 when the chatid query parameter is not provided.</t>
  </si>
  <si>
    <t>accounts/urls.py</t>
  </si>
  <si>
    <t>get_messages</t>
  </si>
  <si>
    <t>Github</t>
  </si>
  <si>
    <t>Validate logarithmic click logic.</t>
  </si>
  <si>
    <t>GET /api/chatbot/messages/ (no chatid param)</t>
  </si>
  <si>
    <t>HTTP 400. error: "chatid is required"</t>
  </si>
  <si>
    <t>TC_BOT_BE_07</t>
  </si>
  <si>
    <t>Verify that SendMessageView returns HTTP 404 when the given conversation_id does not exist.</t>
  </si>
  <si>
    <t>SendMessageView.create</t>
  </si>
  <si>
    <t>Fully covered — all URL routes are exercised through the test suite.</t>
  </si>
  <si>
    <t>No Conversation with id=99999 exists.</t>
  </si>
  <si>
    <t>POST body: {"conversation_id": 99999, "text": "Hello"}</t>
  </si>
  <si>
    <t>HTTP 404. isSuccess: False. message: "Conversation not found"</t>
  </si>
  <si>
    <t>accounts/tests.py</t>
  </si>
  <si>
    <t>CheckDB: Message.objects.count() remains unchanged — no garbage message inserted.</t>
  </si>
  <si>
    <t>Validate weighted score formula.</t>
  </si>
  <si>
    <t>TC_BOT_BE_08</t>
  </si>
  <si>
    <t>Verify that SendMessageView successfully creates a new message and updates last_message and seen fields on the conversation.</t>
  </si>
  <si>
    <t>AI Chatbot</t>
  </si>
  <si>
    <t>A valid Conversation between user A and user B exists. User A is authenticated.</t>
  </si>
  <si>
    <t>POST body: {"conversation_id": &lt;id&gt;, "text": "Hello"}</t>
  </si>
  <si>
    <t>HTTP 200. isSuccess: True. data.text == "Hello".</t>
  </si>
  <si>
    <t xml:space="preserve">Test script file — 100% covered by definition.
</t>
  </si>
  <si>
    <t>CheckDB: Message.objects.count() increases by 1. conversation.last_message == "Hello". conversation.seen == False.</t>
  </si>
  <si>
    <t>Verify score persistence logic.</t>
  </si>
  <si>
    <t>TC_BOT_BE_09</t>
  </si>
  <si>
    <t>Verify that GetOrCreateConversationView returns HTTP 400 when user_id is missing from the request body.</t>
  </si>
  <si>
    <t>chatbots/views.py</t>
  </si>
  <si>
    <t>GetOrCreateConversationView.post</t>
  </si>
  <si>
    <t>User A is authenticated.</t>
  </si>
  <si>
    <t>HTTP 400. isSuccess: False. message: "user_id is required"</t>
  </si>
  <si>
    <t>Lines calling external API (httpx streaming, requests) are not covered — requires mocking. Only guard clause branches are in scope for the 10 TCs.</t>
  </si>
  <si>
    <t>TC_BOT_BE_10</t>
  </si>
  <si>
    <t>Verify that GetOrCreateConversationView creates a new Conversation record in the database when no existing conversation between the two users is found.</t>
  </si>
  <si>
    <t>chatbots/services/askyourdatabase.py</t>
  </si>
  <si>
    <t>Users A and B exist. No Conversation between them exists.</t>
  </si>
  <si>
    <t>Verify error handling during save.</t>
  </si>
  <si>
    <t>POST body: {"user_id": &lt;B_id&gt;}</t>
  </si>
  <si>
    <t>HTTP 200. isSuccess: True. message: "Conversation created".</t>
  </si>
  <si>
    <t>CheckDB: Conversation.objects.count() increases by 1. New record contains user1=A and user2=B.</t>
  </si>
  <si>
    <t>Entirely external API wrapper. Cannot be tested without network mock. Out of test scope.</t>
  </si>
  <si>
    <t>TOTAL</t>
  </si>
  <si>
    <t>chats/views.py</t>
  </si>
  <si>
    <t>hotels/serializers.py</t>
  </si>
  <si>
    <t>ConversationListView and MessageListView are out of scope. Only SendMessageView and GetOrCreateConversationView are covered by the 10 TCs.</t>
  </si>
  <si>
    <t>Validate thumbnail retrieval logic.</t>
  </si>
  <si>
    <t>chats/models.py</t>
  </si>
  <si>
    <t>2 missed lines are __str__ helper methods, not called by any tested endpoint.</t>
  </si>
  <si>
    <t>chats/serializers.py</t>
  </si>
  <si>
    <t>Validate owner serialization logic.</t>
  </si>
  <si>
    <t>Fully covered — all serializer fields are exercised through SendMessageView and GetOrCreateConversationView tests.</t>
  </si>
  <si>
    <t>chats/tests.py</t>
  </si>
  <si>
    <t>hotels/views.py</t>
  </si>
  <si>
    <t>Default empty test file generated by Django. Not used — all tests are written in chatbots/tests.py.</t>
  </si>
  <si>
    <t>Verify interaction guard clauses.</t>
  </si>
  <si>
    <t>chatbots/tests.py</t>
  </si>
  <si>
    <t>Validate question/chatid presence.</t>
  </si>
  <si>
    <t>Covers booking code generation and core booking model logic. Only a few helper lines are out of scope.</t>
  </si>
  <si>
    <t>Verify chat creation guard clauses.</t>
  </si>
  <si>
    <t>Partially covered by BookingSerializer creation test. Many serializer branches are outside the 10 Bookings TC scope.</t>
  </si>
  <si>
    <t>Verify chatid presence validation.</t>
  </si>
  <si>
    <t>Covers create booking, cancel booking, rebook booking, and refund calculation flows. Many endpoints remain out of scope.</t>
  </si>
  <si>
    <t>bookings/tests.py</t>
  </si>
  <si>
    <t>Verify message creation logic.</t>
  </si>
  <si>
    <t>Test script file fully covered. Contains the 10 unit tests mapped to the Excel TC list.</t>
  </si>
  <si>
    <t>bookings/urls.py</t>
  </si>
  <si>
    <t>Fully covered because all required booking routes are exercised by the test suite.</t>
  </si>
  <si>
    <t>Verify conversation retrieval logic.</t>
  </si>
  <si>
    <t>rooms/models.py</t>
  </si>
  <si>
    <t>Covered through hotel booking creation, room detail creation, and room inventory update flow.</t>
  </si>
  <si>
    <t>rooms/serializers.py</t>
  </si>
  <si>
    <t>Covered by invalid date range and room capacity validation tests, plus valid booking flow.</t>
  </si>
  <si>
    <t>payments/models.py</t>
  </si>
  <si>
    <t>Fully covered through cancel and refund booking flow where payment records are created and updated.</t>
  </si>
  <si>
    <t>payments/views.py</t>
  </si>
  <si>
    <t>Not covered by this Bookings-only test suite. Payment flow here is outside the 10 TC scope.</t>
  </si>
  <si>
    <t>hotels\__init__.py</t>
  </si>
  <si>
    <t>hotels\admin.py</t>
  </si>
  <si>
    <t>hotels\apps.py</t>
  </si>
  <si>
    <t>1.2b Items NOT Tested</t>
  </si>
  <si>
    <t>hotels\models.py</t>
  </si>
  <si>
    <t>Missed: lines 101 and 125 - __str__ helper methods not called by any tested endpoint.</t>
  </si>
  <si>
    <t>Feature / Class</t>
  </si>
  <si>
    <t>Reason for Exclusion</t>
  </si>
  <si>
    <t>hotels\serializers.py</t>
  </si>
  <si>
    <t>Missed line 143 - weighted scoring function, out of scope</t>
  </si>
  <si>
    <t>hotels\tests.py</t>
  </si>
  <si>
    <t>Frontend &amp; Admin UI</t>
  </si>
  <si>
    <t>Whitebox scope focuses on Backend internal code.</t>
  </si>
  <si>
    <t>hotels\urls.py</t>
  </si>
  <si>
    <t>Config files</t>
  </si>
  <si>
    <t>Does not contain application business logic.</t>
  </si>
  <si>
    <t>hotels\views.py</t>
  </si>
  <si>
    <t>Many view branches outside the current test scope, including list, filter and pagination.</t>
  </si>
  <si>
    <t>Third-party libs</t>
  </si>
  <si>
    <t>Already tested by vendors.</t>
  </si>
  <si>
    <t>Migrations</t>
  </si>
  <si>
    <t>Database schema definitions, not logic.</t>
  </si>
  <si>
    <t>Simple Getters</t>
  </si>
  <si>
    <t>Direct data passthrough without branching logic.</t>
  </si>
  <si>
    <t>Lookup modules</t>
  </si>
  <si>
    <t>Simple CRUD on static data without logic.</t>
  </si>
  <si>
    <t>Content modules</t>
  </si>
  <si>
    <t>No calculation or branch logic involved.</t>
  </si>
  <si>
    <t>External API calls</t>
  </si>
  <si>
    <t>Requires network mocking; external logic.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</si>
</sst>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b/>
      <sz val="13.0"/>
      <color rgb="FFFFFFFF"/>
      <name val="Times New Roman"/>
    </font>
    <font>
      <sz val="13.0"/>
      <color rgb="FFFFFFFF"/>
      <name val="Times New Roman"/>
    </font>
    <font>
      <sz val="13.0"/>
      <color theme="1"/>
      <name val="Times New Roman"/>
    </font>
    <font>
      <sz val="13.0"/>
      <color rgb="FF000000"/>
      <name val="Times New Roman"/>
    </font>
    <font>
      <sz val="11.0"/>
      <color rgb="FF000000"/>
      <name val="Calibri"/>
    </font>
    <font>
      <sz val="13.0"/>
      <name val="Times New Roman"/>
    </font>
    <font>
      <b/>
      <sz val="10.0"/>
      <color rgb="FFFFFFFF"/>
      <name val="Times New Roman"/>
    </font>
    <font>
      <b/>
      <sz val="14.0"/>
      <color rgb="FFFFFFFF"/>
      <name val="Arial"/>
    </font>
    <font>
      <b/>
      <color rgb="FFFFFFFF"/>
      <name val="Arial"/>
    </font>
    <font>
      <sz val="10.0"/>
      <color rgb="FFFFFFFF"/>
      <name val="Times New Roman"/>
    </font>
    <font>
      <sz val="10.0"/>
      <color rgb="FF000000"/>
      <name val="Times New Roman"/>
    </font>
    <font/>
    <font>
      <color rgb="FF000000"/>
      <name val="Arial"/>
    </font>
    <font>
      <sz val="10.0"/>
      <color theme="1"/>
      <name val="Times New Roman"/>
    </font>
    <font>
      <b/>
      <color rgb="FF000000"/>
      <name val="Arial"/>
    </font>
    <font>
      <sz val="10.0"/>
      <color rgb="FF000000"/>
      <name val="Arial"/>
    </font>
    <font>
      <u/>
      <color rgb="FF0000FF"/>
      <name val="Arial"/>
    </font>
    <font>
      <color theme="1"/>
      <name val="Arial"/>
    </font>
    <font>
      <u/>
      <color rgb="FF0000FF"/>
      <name val="Arial"/>
    </font>
    <font>
      <sz val="10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1F3864"/>
        <bgColor rgb="FF1F3864"/>
      </patternFill>
    </fill>
    <fill>
      <patternFill patternType="solid">
        <fgColor rgb="FFEBF3FB"/>
        <bgColor rgb="FFEBF3FB"/>
      </patternFill>
    </fill>
    <fill>
      <patternFill patternType="solid">
        <fgColor rgb="FFFFFFFF"/>
        <bgColor rgb="FFFFFFFF"/>
      </patternFill>
    </fill>
    <fill>
      <patternFill patternType="solid">
        <fgColor rgb="FFD6E4F7"/>
        <bgColor rgb="FFD6E4F7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</border>
    <border>
      <left style="thin">
        <color rgb="FF8EA9C1"/>
      </left>
      <top style="thin">
        <color rgb="FF8EA9C1"/>
      </top>
      <bottom style="thin">
        <color rgb="FF8EA9C1"/>
      </bottom>
    </border>
    <border>
      <right style="thin">
        <color rgb="FF8EA9C1"/>
      </right>
      <top style="thin">
        <color rgb="FF8EA9C1"/>
      </top>
      <bottom style="thin">
        <color rgb="FF8EA9C1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top" wrapText="1"/>
    </xf>
    <xf borderId="0" fillId="2" fontId="1" numFmtId="0" xfId="0" applyAlignment="1" applyFont="1">
      <alignment readingOrder="0" shrinkToFit="0" vertical="bottom" wrapText="0"/>
    </xf>
    <xf borderId="0" fillId="2" fontId="2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/>
    </xf>
    <xf borderId="1" fillId="0" fontId="4" numFmtId="0" xfId="0" applyAlignment="1" applyBorder="1" applyFont="1">
      <alignment readingOrder="0" shrinkToFit="0" vertical="top" wrapText="1"/>
    </xf>
    <xf borderId="0" fillId="0" fontId="3" numFmtId="0" xfId="0" applyFont="1"/>
    <xf borderId="0" fillId="0" fontId="4" numFmtId="0" xfId="0" applyAlignment="1" applyFont="1">
      <alignment shrinkToFit="0" vertical="bottom" wrapText="0"/>
    </xf>
    <xf borderId="1" fillId="0" fontId="3" numFmtId="0" xfId="0" applyAlignment="1" applyBorder="1" applyFont="1">
      <alignment readingOrder="0" shrinkToFit="0" vertical="top" wrapText="1"/>
    </xf>
    <xf borderId="0" fillId="0" fontId="4" numFmtId="0" xfId="0" applyAlignment="1" applyFont="1">
      <alignment readingOrder="0" vertical="top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1" fillId="0" fontId="4" numFmtId="0" xfId="0" applyAlignment="1" applyBorder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2" fontId="1" numFmtId="0" xfId="0" applyAlignment="1" applyFont="1">
      <alignment readingOrder="0" shrinkToFit="0" vertical="top" wrapText="1"/>
    </xf>
    <xf borderId="0" fillId="0" fontId="5" numFmtId="0" xfId="0" applyAlignment="1" applyFont="1">
      <alignment shrinkToFit="0" vertical="bottom" wrapText="0"/>
    </xf>
    <xf quotePrefix="1" borderId="0" fillId="0" fontId="4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6" numFmtId="0" xfId="0" applyAlignment="1" applyFont="1">
      <alignment readingOrder="0" shrinkToFit="0" vertical="top" wrapText="1"/>
    </xf>
    <xf borderId="1" fillId="2" fontId="7" numFmtId="0" xfId="0" applyAlignment="1" applyBorder="1" applyFont="1">
      <alignment readingOrder="0" shrinkToFit="0" vertical="top" wrapText="1"/>
    </xf>
    <xf borderId="0" fillId="3" fontId="8" numFmtId="0" xfId="0" applyAlignment="1" applyFill="1" applyFont="1">
      <alignment horizontal="center" readingOrder="0" shrinkToFit="0" wrapText="0"/>
    </xf>
    <xf borderId="2" fillId="3" fontId="9" numFmtId="0" xfId="0" applyAlignment="1" applyBorder="1" applyFont="1">
      <alignment horizontal="center" readingOrder="0" shrinkToFit="0" vertical="top" wrapText="1"/>
    </xf>
    <xf borderId="2" fillId="3" fontId="9" numFmtId="0" xfId="0" applyAlignment="1" applyBorder="1" applyFont="1">
      <alignment horizontal="center" readingOrder="0"/>
    </xf>
    <xf borderId="0" fillId="2" fontId="10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1" fillId="0" fontId="11" numFmtId="0" xfId="0" applyAlignment="1" applyBorder="1" applyFont="1">
      <alignment readingOrder="0" shrinkToFit="0" vertical="top" wrapText="1"/>
    </xf>
    <xf borderId="3" fillId="3" fontId="9" numFmtId="0" xfId="0" applyAlignment="1" applyBorder="1" applyFont="1">
      <alignment horizontal="center" readingOrder="0"/>
    </xf>
    <xf borderId="4" fillId="0" fontId="12" numFmtId="0" xfId="0" applyBorder="1" applyFont="1"/>
    <xf borderId="2" fillId="4" fontId="13" numFmtId="0" xfId="0" applyAlignment="1" applyBorder="1" applyFill="1" applyFont="1">
      <alignment horizontal="left" readingOrder="0" shrinkToFit="0" vertical="top" wrapText="1"/>
    </xf>
    <xf borderId="1" fillId="0" fontId="14" numFmtId="0" xfId="0" applyAlignment="1" applyBorder="1" applyFont="1">
      <alignment readingOrder="0" shrinkToFit="0" vertical="top" wrapText="1"/>
    </xf>
    <xf borderId="2" fillId="3" fontId="9" numFmtId="0" xfId="0" applyAlignment="1" applyBorder="1" applyFont="1">
      <alignment horizontal="center" readingOrder="0" shrinkToFit="0" wrapText="1"/>
    </xf>
    <xf borderId="2" fillId="4" fontId="13" numFmtId="0" xfId="0" applyAlignment="1" applyBorder="1" applyFont="1">
      <alignment horizontal="center" readingOrder="0" vertical="top"/>
    </xf>
    <xf borderId="2" fillId="4" fontId="15" numFmtId="0" xfId="0" applyAlignment="1" applyBorder="1" applyFont="1">
      <alignment horizontal="left" readingOrder="0" shrinkToFit="0" vertical="top" wrapText="1"/>
    </xf>
    <xf borderId="2" fillId="4" fontId="16" numFmtId="9" xfId="0" applyAlignment="1" applyBorder="1" applyFont="1" applyNumberFormat="1">
      <alignment horizontal="center" readingOrder="0" shrinkToFit="0" vertical="bottom" wrapText="0"/>
    </xf>
    <xf borderId="2" fillId="4" fontId="13" numFmtId="9" xfId="0" applyAlignment="1" applyBorder="1" applyFont="1" applyNumberFormat="1">
      <alignment horizontal="center" readingOrder="0" vertical="top"/>
    </xf>
    <xf borderId="2" fillId="4" fontId="13" numFmtId="0" xfId="0" applyAlignment="1" applyBorder="1" applyFont="1">
      <alignment horizontal="left" vertical="top"/>
    </xf>
    <xf borderId="3" fillId="4" fontId="13" numFmtId="0" xfId="0" applyAlignment="1" applyBorder="1" applyFont="1">
      <alignment horizontal="left" readingOrder="0" shrinkToFit="0" vertical="top" wrapText="1"/>
    </xf>
    <xf borderId="3" fillId="4" fontId="17" numFmtId="0" xfId="0" applyAlignment="1" applyBorder="1" applyFont="1">
      <alignment horizontal="left" readingOrder="0" vertical="top"/>
    </xf>
    <xf borderId="1" fillId="0" fontId="11" numFmtId="0" xfId="0" applyAlignment="1" applyBorder="1" applyFont="1">
      <alignment readingOrder="0" shrinkToFit="0" vertical="top" wrapText="1"/>
    </xf>
    <xf borderId="4" fillId="4" fontId="18" numFmtId="0" xfId="0" applyAlignment="1" applyBorder="1" applyFont="1">
      <alignment horizontal="left" readingOrder="0" vertical="top"/>
    </xf>
    <xf borderId="2" fillId="5" fontId="15" numFmtId="0" xfId="0" applyAlignment="1" applyBorder="1" applyFill="1" applyFont="1">
      <alignment horizontal="left" readingOrder="0" shrinkToFit="0" vertical="top" wrapText="1"/>
    </xf>
    <xf borderId="2" fillId="5" fontId="13" numFmtId="0" xfId="0" applyAlignment="1" applyBorder="1" applyFont="1">
      <alignment horizontal="center" readingOrder="0" vertical="top"/>
    </xf>
    <xf borderId="2" fillId="5" fontId="16" numFmtId="9" xfId="0" applyAlignment="1" applyBorder="1" applyFont="1" applyNumberFormat="1">
      <alignment horizontal="center" readingOrder="0" shrinkToFit="0" vertical="bottom" wrapText="0"/>
    </xf>
    <xf borderId="2" fillId="5" fontId="13" numFmtId="0" xfId="0" applyAlignment="1" applyBorder="1" applyFont="1">
      <alignment horizontal="left" vertical="top"/>
    </xf>
    <xf borderId="3" fillId="5" fontId="19" numFmtId="0" xfId="0" applyAlignment="1" applyBorder="1" applyFont="1">
      <alignment horizontal="left" readingOrder="0" vertical="top"/>
    </xf>
    <xf borderId="2" fillId="4" fontId="13" numFmtId="0" xfId="0" applyAlignment="1" applyBorder="1" applyFont="1">
      <alignment horizontal="center" vertical="top"/>
    </xf>
    <xf borderId="2" fillId="4" fontId="5" numFmtId="9" xfId="0" applyAlignment="1" applyBorder="1" applyFont="1" applyNumberFormat="1">
      <alignment horizontal="center" readingOrder="0" shrinkToFit="0" vertical="bottom" wrapText="0"/>
    </xf>
    <xf borderId="2" fillId="6" fontId="15" numFmtId="0" xfId="0" applyAlignment="1" applyBorder="1" applyFill="1" applyFont="1">
      <alignment horizontal="left" readingOrder="0" shrinkToFit="0" vertical="top" wrapText="1"/>
    </xf>
    <xf borderId="0" fillId="0" fontId="20" numFmtId="0" xfId="0" applyFont="1"/>
    <xf borderId="2" fillId="6" fontId="15" numFmtId="0" xfId="0" applyAlignment="1" applyBorder="1" applyFont="1">
      <alignment horizontal="center" readingOrder="0" shrinkToFit="0" vertical="bottom" wrapText="0"/>
    </xf>
    <xf borderId="2" fillId="6" fontId="15" numFmtId="10" xfId="0" applyAlignment="1" applyBorder="1" applyFont="1" applyNumberFormat="1">
      <alignment horizontal="center" readingOrder="0" shrinkToFit="0" vertical="bottom" wrapText="0"/>
    </xf>
    <xf borderId="2" fillId="6" fontId="15" numFmtId="9" xfId="0" applyAlignment="1" applyBorder="1" applyFont="1" applyNumberFormat="1">
      <alignment horizontal="center" readingOrder="0" shrinkToFit="0" vertical="bottom" wrapText="0"/>
    </xf>
    <xf borderId="3" fillId="4" fontId="13" numFmtId="0" xfId="0" applyAlignment="1" applyBorder="1" applyFont="1">
      <alignment horizontal="left" shrinkToFit="0" vertical="top" wrapText="1"/>
    </xf>
    <xf borderId="2" fillId="6" fontId="15" numFmtId="0" xfId="0" applyAlignment="1" applyBorder="1" applyFont="1">
      <alignment horizontal="left" readingOrder="0" vertical="top"/>
    </xf>
    <xf borderId="2" fillId="6" fontId="13" numFmtId="0" xfId="0" applyAlignment="1" applyBorder="1" applyFont="1">
      <alignment horizontal="center" vertical="top"/>
    </xf>
    <xf borderId="2" fillId="6" fontId="13" numFmtId="9" xfId="0" applyAlignment="1" applyBorder="1" applyFont="1" applyNumberFormat="1">
      <alignment horizontal="center" vertical="top"/>
    </xf>
    <xf borderId="3" fillId="6" fontId="13" numFmtId="0" xfId="0" applyAlignment="1" applyBorder="1" applyFont="1">
      <alignment horizontal="left" vertical="top"/>
    </xf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loginview.post" TargetMode="External"/><Relationship Id="rId2" Type="http://schemas.openxmlformats.org/officeDocument/2006/relationships/hyperlink" Target="http://logoutview.post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_cVSq38R5Y_Jm5QxXXEseRvvn9tet9llndfAQuTeL50/edit?hl=vi&amp;tab=t.0" TargetMode="External"/><Relationship Id="rId2" Type="http://schemas.openxmlformats.org/officeDocument/2006/relationships/hyperlink" Target="https://github.com/hoanhdungdz/SQA-unit-test" TargetMode="External"/><Relationship Id="rId3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27.13"/>
    <col customWidth="1" min="3" max="3" width="39.38"/>
  </cols>
  <sheetData>
    <row r="1">
      <c r="A1" s="2" t="s">
        <v>0</v>
      </c>
      <c r="E1" s="4"/>
      <c r="F1" s="4"/>
      <c r="G1" s="4"/>
      <c r="H1" s="4"/>
      <c r="I1" s="4"/>
      <c r="J1" s="4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/>
      <c r="B2" s="7"/>
      <c r="C2" s="7"/>
      <c r="D2" s="7"/>
      <c r="E2" s="4"/>
      <c r="F2" s="4"/>
      <c r="G2" s="4"/>
      <c r="H2" s="4"/>
      <c r="I2" s="4"/>
      <c r="J2" s="4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0" t="s">
        <v>43</v>
      </c>
      <c r="B3" s="10" t="s">
        <v>47</v>
      </c>
      <c r="C3" s="7"/>
      <c r="D3" s="7"/>
      <c r="E3" s="4"/>
      <c r="F3" s="4"/>
      <c r="G3" s="4"/>
      <c r="H3" s="4"/>
      <c r="I3" s="4"/>
      <c r="J3" s="4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0" t="s">
        <v>66</v>
      </c>
      <c r="B4" s="10" t="s">
        <v>67</v>
      </c>
      <c r="C4" s="11"/>
      <c r="D4" s="11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0" t="s">
        <v>86</v>
      </c>
      <c r="B5" s="10" t="s">
        <v>88</v>
      </c>
      <c r="D5" s="11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0" t="s">
        <v>132</v>
      </c>
      <c r="B6" s="10" t="s">
        <v>134</v>
      </c>
      <c r="D6" s="11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7"/>
      <c r="B7" s="7"/>
      <c r="C7" s="7"/>
      <c r="D7" s="11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3" t="s">
        <v>172</v>
      </c>
      <c r="B8" s="14"/>
      <c r="C8" s="14"/>
      <c r="D8" s="15"/>
      <c r="E8" s="16"/>
      <c r="F8" s="16"/>
      <c r="G8" s="16"/>
      <c r="H8" s="1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7" t="s">
        <v>200</v>
      </c>
      <c r="B9" s="17" t="s">
        <v>201</v>
      </c>
      <c r="C9" s="17" t="s">
        <v>203</v>
      </c>
      <c r="D9" s="17" t="s">
        <v>10</v>
      </c>
      <c r="G9" s="16"/>
      <c r="H9" s="1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3" t="s">
        <v>215</v>
      </c>
      <c r="B10" s="13" t="s">
        <v>216</v>
      </c>
      <c r="C10" s="13" t="s">
        <v>218</v>
      </c>
      <c r="D10" s="13" t="s">
        <v>220</v>
      </c>
      <c r="G10" s="16"/>
      <c r="H10" s="1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3" t="s">
        <v>231</v>
      </c>
      <c r="B11" s="19" t="s">
        <v>232</v>
      </c>
      <c r="C11" s="13" t="s">
        <v>233</v>
      </c>
      <c r="D11" s="13" t="s">
        <v>235</v>
      </c>
      <c r="G11" s="20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3" t="s">
        <v>134</v>
      </c>
      <c r="B12" s="19" t="s">
        <v>241</v>
      </c>
      <c r="C12" s="13" t="s">
        <v>242</v>
      </c>
      <c r="D12" s="13" t="s">
        <v>244</v>
      </c>
      <c r="G12" s="1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3" t="s">
        <v>248</v>
      </c>
      <c r="B13" s="13" t="s">
        <v>250</v>
      </c>
      <c r="C13" s="13" t="s">
        <v>251</v>
      </c>
      <c r="D13" s="13" t="s">
        <v>252</v>
      </c>
      <c r="G13" s="20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3" t="s">
        <v>258</v>
      </c>
      <c r="B14" s="13" t="s">
        <v>259</v>
      </c>
      <c r="C14" s="13" t="s">
        <v>261</v>
      </c>
      <c r="D14" s="13" t="s">
        <v>262</v>
      </c>
      <c r="G14" s="20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3" t="s">
        <v>266</v>
      </c>
      <c r="B15" s="13" t="s">
        <v>250</v>
      </c>
      <c r="C15" s="13" t="s">
        <v>267</v>
      </c>
      <c r="D15" s="13" t="s">
        <v>268</v>
      </c>
      <c r="G15" s="20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4"/>
      <c r="B16" s="14"/>
      <c r="C16" s="14"/>
      <c r="D16" s="14"/>
      <c r="E16" s="20"/>
      <c r="F16" s="20"/>
      <c r="G16" s="20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3" t="s">
        <v>275</v>
      </c>
      <c r="B17" s="14"/>
      <c r="C17" s="14"/>
      <c r="D17" s="14"/>
      <c r="E17" s="20"/>
      <c r="F17" s="20"/>
      <c r="G17" s="20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7" t="s">
        <v>280</v>
      </c>
      <c r="B18" s="17" t="s">
        <v>282</v>
      </c>
      <c r="C18" s="17" t="s">
        <v>284</v>
      </c>
      <c r="D18" s="17" t="s">
        <v>285</v>
      </c>
      <c r="G18" s="1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3" t="s">
        <v>290</v>
      </c>
      <c r="B19" s="13" t="s">
        <v>291</v>
      </c>
      <c r="C19" s="13" t="s">
        <v>17</v>
      </c>
      <c r="D19" s="13" t="s">
        <v>292</v>
      </c>
      <c r="G19" s="1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3" t="s">
        <v>290</v>
      </c>
      <c r="B20" s="13" t="s">
        <v>291</v>
      </c>
      <c r="C20" s="21" t="s">
        <v>93</v>
      </c>
      <c r="D20" s="13" t="s">
        <v>293</v>
      </c>
      <c r="G20" s="20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13" t="s">
        <v>290</v>
      </c>
      <c r="B21" s="13" t="s">
        <v>291</v>
      </c>
      <c r="C21" s="27" t="s">
        <v>131</v>
      </c>
      <c r="D21" s="13" t="s">
        <v>298</v>
      </c>
      <c r="G21" s="20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13" t="s">
        <v>290</v>
      </c>
      <c r="B22" s="13" t="s">
        <v>291</v>
      </c>
      <c r="C22" s="13" t="s">
        <v>167</v>
      </c>
      <c r="D22" s="13" t="s">
        <v>309</v>
      </c>
      <c r="G22" s="20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13" t="s">
        <v>290</v>
      </c>
      <c r="B23" s="13" t="s">
        <v>291</v>
      </c>
      <c r="C23" s="13" t="s">
        <v>190</v>
      </c>
      <c r="D23" s="13" t="s">
        <v>310</v>
      </c>
      <c r="G23" s="20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13" t="s">
        <v>290</v>
      </c>
      <c r="B24" s="13" t="s">
        <v>311</v>
      </c>
      <c r="C24" s="13" t="s">
        <v>55</v>
      </c>
      <c r="D24" s="13" t="s">
        <v>312</v>
      </c>
      <c r="G24" s="20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13" t="s">
        <v>314</v>
      </c>
      <c r="B25" s="13" t="s">
        <v>315</v>
      </c>
      <c r="C25" s="13" t="s">
        <v>14</v>
      </c>
      <c r="D25" s="13" t="s">
        <v>316</v>
      </c>
      <c r="G25" s="20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13" t="s">
        <v>314</v>
      </c>
      <c r="B26" s="13" t="s">
        <v>318</v>
      </c>
      <c r="C26" s="13" t="s">
        <v>32</v>
      </c>
      <c r="D26" s="13" t="s">
        <v>319</v>
      </c>
      <c r="G26" s="20"/>
      <c r="H26" s="20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13" t="s">
        <v>314</v>
      </c>
      <c r="B27" s="13" t="s">
        <v>318</v>
      </c>
      <c r="C27" s="13" t="s">
        <v>54</v>
      </c>
      <c r="D27" s="13" t="s">
        <v>320</v>
      </c>
      <c r="G27" s="20"/>
      <c r="H27" s="20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13" t="s">
        <v>314</v>
      </c>
      <c r="B28" s="13" t="s">
        <v>321</v>
      </c>
      <c r="C28" s="13" t="s">
        <v>107</v>
      </c>
      <c r="D28" s="13" t="s">
        <v>322</v>
      </c>
      <c r="G28" s="20"/>
      <c r="H28" s="20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13" t="s">
        <v>314</v>
      </c>
      <c r="B29" s="13" t="s">
        <v>321</v>
      </c>
      <c r="C29" s="13" t="s">
        <v>152</v>
      </c>
      <c r="D29" s="13" t="s">
        <v>323</v>
      </c>
      <c r="G29" s="20"/>
      <c r="H29" s="20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13" t="s">
        <v>314</v>
      </c>
      <c r="B30" s="13" t="s">
        <v>321</v>
      </c>
      <c r="C30" s="13" t="s">
        <v>174</v>
      </c>
      <c r="D30" s="13" t="s">
        <v>324</v>
      </c>
      <c r="G30" s="20"/>
      <c r="H30" s="20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13" t="s">
        <v>314</v>
      </c>
      <c r="B31" s="13" t="s">
        <v>321</v>
      </c>
      <c r="C31" s="13" t="s">
        <v>211</v>
      </c>
      <c r="D31" s="13" t="s">
        <v>325</v>
      </c>
      <c r="G31" s="20"/>
      <c r="H31" s="20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13" t="s">
        <v>334</v>
      </c>
      <c r="B32" s="13" t="s">
        <v>336</v>
      </c>
      <c r="C32" s="13" t="s">
        <v>46</v>
      </c>
      <c r="D32" s="13" t="s">
        <v>338</v>
      </c>
      <c r="G32" s="20"/>
      <c r="H32" s="20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13" t="s">
        <v>334</v>
      </c>
      <c r="B33" s="13" t="s">
        <v>336</v>
      </c>
      <c r="C33" s="13" t="s">
        <v>74</v>
      </c>
      <c r="D33" s="13" t="s">
        <v>350</v>
      </c>
      <c r="G33" s="20"/>
      <c r="H33" s="20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13" t="s">
        <v>334</v>
      </c>
      <c r="B34" s="13" t="s">
        <v>336</v>
      </c>
      <c r="C34" s="13" t="s">
        <v>111</v>
      </c>
      <c r="D34" s="13" t="s">
        <v>358</v>
      </c>
      <c r="G34" s="20"/>
      <c r="H34" s="20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13" t="s">
        <v>334</v>
      </c>
      <c r="B35" s="13" t="s">
        <v>336</v>
      </c>
      <c r="C35" s="13" t="s">
        <v>153</v>
      </c>
      <c r="D35" s="13" t="s">
        <v>370</v>
      </c>
      <c r="G35" s="20"/>
      <c r="H35" s="20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13" t="s">
        <v>334</v>
      </c>
      <c r="B36" s="13" t="s">
        <v>336</v>
      </c>
      <c r="C36" s="13" t="s">
        <v>176</v>
      </c>
      <c r="D36" s="13" t="s">
        <v>382</v>
      </c>
      <c r="G36" s="20"/>
      <c r="H36" s="20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13" t="s">
        <v>334</v>
      </c>
      <c r="B37" s="13" t="s">
        <v>336</v>
      </c>
      <c r="C37" s="13" t="s">
        <v>205</v>
      </c>
      <c r="D37" s="13" t="s">
        <v>391</v>
      </c>
      <c r="G37" s="20"/>
      <c r="H37" s="20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13" t="s">
        <v>334</v>
      </c>
      <c r="B38" s="13" t="s">
        <v>336</v>
      </c>
      <c r="C38" s="13" t="s">
        <v>225</v>
      </c>
      <c r="D38" s="13" t="s">
        <v>403</v>
      </c>
      <c r="G38" s="20"/>
      <c r="H38" s="20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13" t="s">
        <v>334</v>
      </c>
      <c r="B39" s="13" t="s">
        <v>410</v>
      </c>
      <c r="C39" s="13" t="s">
        <v>237</v>
      </c>
      <c r="D39" s="13" t="s">
        <v>412</v>
      </c>
      <c r="G39" s="20"/>
      <c r="H39" s="20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13" t="s">
        <v>334</v>
      </c>
      <c r="B40" s="13" t="s">
        <v>410</v>
      </c>
      <c r="C40" s="13" t="s">
        <v>255</v>
      </c>
      <c r="D40" s="13" t="s">
        <v>416</v>
      </c>
      <c r="G40" s="20"/>
      <c r="H40" s="20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13" t="s">
        <v>334</v>
      </c>
      <c r="B41" s="13" t="s">
        <v>419</v>
      </c>
      <c r="C41" s="27" t="s">
        <v>274</v>
      </c>
      <c r="D41" s="13" t="s">
        <v>421</v>
      </c>
      <c r="G41" s="20"/>
      <c r="H41" s="20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13" t="s">
        <v>385</v>
      </c>
      <c r="B42" s="13" t="s">
        <v>394</v>
      </c>
      <c r="C42" s="13" t="s">
        <v>304</v>
      </c>
      <c r="D42" s="13" t="s">
        <v>423</v>
      </c>
      <c r="G42" s="20"/>
      <c r="H42" s="20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13" t="s">
        <v>385</v>
      </c>
      <c r="B43" s="13" t="s">
        <v>394</v>
      </c>
      <c r="C43" s="13" t="s">
        <v>342</v>
      </c>
      <c r="D43" s="13" t="s">
        <v>425</v>
      </c>
      <c r="G43" s="20"/>
      <c r="H43" s="20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13" t="s">
        <v>385</v>
      </c>
      <c r="B44" s="13" t="s">
        <v>394</v>
      </c>
      <c r="C44" s="13" t="s">
        <v>368</v>
      </c>
      <c r="D44" s="13" t="s">
        <v>427</v>
      </c>
      <c r="G44" s="20"/>
      <c r="H44" s="20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13" t="s">
        <v>385</v>
      </c>
      <c r="B45" s="13" t="s">
        <v>409</v>
      </c>
      <c r="C45" s="13" t="s">
        <v>375</v>
      </c>
      <c r="D45" s="13" t="s">
        <v>430</v>
      </c>
      <c r="G45" s="20"/>
      <c r="H45" s="20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13" t="s">
        <v>385</v>
      </c>
      <c r="B46" s="13" t="s">
        <v>409</v>
      </c>
      <c r="C46" s="27" t="s">
        <v>395</v>
      </c>
      <c r="D46" s="13" t="s">
        <v>434</v>
      </c>
      <c r="G46" s="20"/>
      <c r="H46" s="20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14"/>
      <c r="B47" s="14"/>
      <c r="C47" s="14"/>
      <c r="D47" s="14"/>
      <c r="G47" s="20"/>
      <c r="H47" s="20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14"/>
      <c r="B48" s="14"/>
      <c r="C48" s="14"/>
      <c r="D48" s="14"/>
      <c r="G48" s="20"/>
      <c r="H48" s="20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14"/>
      <c r="B49" s="14"/>
      <c r="C49" s="14"/>
      <c r="D49" s="14"/>
      <c r="G49" s="20"/>
      <c r="H49" s="20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14"/>
      <c r="B50" s="14"/>
      <c r="C50" s="14"/>
      <c r="D50" s="14"/>
      <c r="G50" s="20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13" t="s">
        <v>446</v>
      </c>
      <c r="B51" s="14"/>
      <c r="C51" s="14"/>
      <c r="D51" s="14"/>
      <c r="E51" s="20"/>
      <c r="F51" s="20"/>
      <c r="G51" s="20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17" t="s">
        <v>449</v>
      </c>
      <c r="B52" s="17" t="s">
        <v>450</v>
      </c>
      <c r="G52" s="20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13" t="s">
        <v>454</v>
      </c>
      <c r="B53" s="13" t="s">
        <v>455</v>
      </c>
      <c r="G53" s="1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13" t="s">
        <v>457</v>
      </c>
      <c r="B54" s="13" t="s">
        <v>458</v>
      </c>
      <c r="G54" s="1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13" t="s">
        <v>461</v>
      </c>
      <c r="B55" s="13" t="s">
        <v>462</v>
      </c>
      <c r="G55" s="20"/>
      <c r="H55" s="20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20" t="s">
        <v>463</v>
      </c>
      <c r="B56" s="20" t="s">
        <v>464</v>
      </c>
      <c r="G56" s="20"/>
      <c r="H56" s="20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20" t="s">
        <v>465</v>
      </c>
      <c r="B57" s="20" t="s">
        <v>466</v>
      </c>
      <c r="G57" s="20"/>
      <c r="H57" s="20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20" t="s">
        <v>467</v>
      </c>
      <c r="B58" s="20" t="s">
        <v>468</v>
      </c>
      <c r="G58" s="20"/>
      <c r="H58" s="20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20" t="s">
        <v>469</v>
      </c>
      <c r="B59" s="20" t="s">
        <v>470</v>
      </c>
      <c r="G59" s="20"/>
      <c r="H59" s="20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20" t="s">
        <v>471</v>
      </c>
      <c r="B60" s="20" t="s">
        <v>472</v>
      </c>
      <c r="G60" s="20"/>
      <c r="H60" s="20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16"/>
      <c r="C61" s="1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16"/>
      <c r="C62" s="1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</row>
    <row r="1020">
      <c r="A1020" s="6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</row>
    <row r="1021">
      <c r="A1021" s="6"/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</row>
    <row r="1022">
      <c r="A1022" s="6"/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</row>
    <row r="1023">
      <c r="A1023" s="6"/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</row>
    <row r="1024">
      <c r="A1024" s="6"/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</row>
  </sheetData>
  <mergeCells count="76"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G50:H50"/>
    <mergeCell ref="G51:H51"/>
    <mergeCell ref="B52:F52"/>
    <mergeCell ref="G52:H52"/>
    <mergeCell ref="G53:H53"/>
    <mergeCell ref="B59:F59"/>
    <mergeCell ref="B60:F60"/>
    <mergeCell ref="A61:B61"/>
    <mergeCell ref="C61:H61"/>
    <mergeCell ref="A62:B62"/>
    <mergeCell ref="C62:H62"/>
    <mergeCell ref="B53:F53"/>
    <mergeCell ref="B54:F54"/>
    <mergeCell ref="G54:H54"/>
    <mergeCell ref="B55:F55"/>
    <mergeCell ref="B56:F56"/>
    <mergeCell ref="B57:F57"/>
    <mergeCell ref="B58:F58"/>
    <mergeCell ref="A1:D1"/>
    <mergeCell ref="B5:C5"/>
    <mergeCell ref="B6:C6"/>
    <mergeCell ref="D9:F9"/>
    <mergeCell ref="D10:F10"/>
    <mergeCell ref="D11:F11"/>
    <mergeCell ref="G11:H11"/>
    <mergeCell ref="D12:F12"/>
    <mergeCell ref="G12:H12"/>
    <mergeCell ref="D13:F13"/>
    <mergeCell ref="G13:H13"/>
    <mergeCell ref="D14:F14"/>
    <mergeCell ref="G14:H14"/>
    <mergeCell ref="D15:F15"/>
    <mergeCell ref="G15:H15"/>
    <mergeCell ref="G16:H16"/>
    <mergeCell ref="G17:H17"/>
    <mergeCell ref="D18:F18"/>
    <mergeCell ref="G18:H18"/>
    <mergeCell ref="D19:F19"/>
    <mergeCell ref="G19:H19"/>
    <mergeCell ref="D20:F20"/>
    <mergeCell ref="G20:H20"/>
    <mergeCell ref="D21:F21"/>
    <mergeCell ref="G21:H21"/>
    <mergeCell ref="D22:F22"/>
    <mergeCell ref="G22:H22"/>
    <mergeCell ref="G23:H23"/>
    <mergeCell ref="D23:F23"/>
    <mergeCell ref="D24:F24"/>
    <mergeCell ref="G24:H24"/>
    <mergeCell ref="D25:F25"/>
    <mergeCell ref="G25:H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D36:F36"/>
    <mergeCell ref="D37:F37"/>
    <mergeCell ref="D38:F38"/>
    <mergeCell ref="D39:F39"/>
    <mergeCell ref="D40:F40"/>
    <mergeCell ref="D41:F41"/>
  </mergeCells>
  <hyperlinks>
    <hyperlink r:id="rId1" ref="C20"/>
    <hyperlink r:id="rId2" ref="C21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18.75"/>
    <col customWidth="1" min="3" max="3" width="25.13"/>
    <col customWidth="1" min="5" max="5" width="19.88"/>
    <col customWidth="1" min="6" max="6" width="19.5"/>
    <col customWidth="1" min="7" max="7" width="17.25"/>
    <col customWidth="1" min="8" max="8" width="19.88"/>
    <col customWidth="1" min="10" max="10" width="19.0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3" t="s">
        <v>10</v>
      </c>
    </row>
    <row r="2">
      <c r="A2" s="5" t="s">
        <v>13</v>
      </c>
      <c r="B2" s="5" t="s">
        <v>15</v>
      </c>
      <c r="C2" s="5" t="s">
        <v>17</v>
      </c>
      <c r="D2" s="5" t="s">
        <v>19</v>
      </c>
      <c r="E2" s="5" t="s">
        <v>22</v>
      </c>
      <c r="F2" s="5" t="s">
        <v>24</v>
      </c>
      <c r="G2" s="5" t="s">
        <v>26</v>
      </c>
      <c r="H2" s="5" t="s">
        <v>27</v>
      </c>
      <c r="I2" s="5" t="s">
        <v>25</v>
      </c>
      <c r="J2" s="8"/>
    </row>
    <row r="3">
      <c r="A3" s="5" t="s">
        <v>31</v>
      </c>
      <c r="B3" s="5" t="s">
        <v>33</v>
      </c>
      <c r="C3" s="5" t="s">
        <v>17</v>
      </c>
      <c r="D3" s="5" t="s">
        <v>19</v>
      </c>
      <c r="E3" s="5" t="s">
        <v>35</v>
      </c>
      <c r="F3" s="5" t="s">
        <v>37</v>
      </c>
      <c r="G3" s="5" t="s">
        <v>39</v>
      </c>
      <c r="H3" s="5" t="s">
        <v>42</v>
      </c>
      <c r="I3" s="5" t="s">
        <v>25</v>
      </c>
      <c r="J3" s="8"/>
    </row>
    <row r="4">
      <c r="A4" s="5" t="s">
        <v>50</v>
      </c>
      <c r="B4" s="5" t="s">
        <v>52</v>
      </c>
      <c r="C4" s="5" t="s">
        <v>55</v>
      </c>
      <c r="D4" s="5" t="s">
        <v>57</v>
      </c>
      <c r="E4" s="5" t="s">
        <v>59</v>
      </c>
      <c r="F4" s="5" t="s">
        <v>61</v>
      </c>
      <c r="G4" s="5" t="s">
        <v>65</v>
      </c>
      <c r="H4" s="5" t="s">
        <v>63</v>
      </c>
      <c r="I4" s="5" t="s">
        <v>25</v>
      </c>
      <c r="J4" s="8"/>
    </row>
    <row r="5">
      <c r="A5" s="5" t="s">
        <v>70</v>
      </c>
      <c r="B5" s="5" t="s">
        <v>73</v>
      </c>
      <c r="C5" s="5" t="s">
        <v>55</v>
      </c>
      <c r="D5" s="5" t="s">
        <v>57</v>
      </c>
      <c r="E5" s="5" t="s">
        <v>59</v>
      </c>
      <c r="F5" s="5" t="s">
        <v>80</v>
      </c>
      <c r="G5" s="5" t="s">
        <v>84</v>
      </c>
      <c r="H5" s="5" t="s">
        <v>63</v>
      </c>
      <c r="I5" s="5" t="s">
        <v>25</v>
      </c>
      <c r="J5" s="8"/>
    </row>
    <row r="6">
      <c r="A6" s="5" t="s">
        <v>90</v>
      </c>
      <c r="B6" s="5" t="s">
        <v>91</v>
      </c>
      <c r="C6" s="12" t="s">
        <v>93</v>
      </c>
      <c r="D6" s="5" t="s">
        <v>19</v>
      </c>
      <c r="E6" s="5" t="s">
        <v>97</v>
      </c>
      <c r="F6" s="5" t="s">
        <v>99</v>
      </c>
      <c r="G6" s="5" t="s">
        <v>102</v>
      </c>
      <c r="H6" s="5" t="s">
        <v>103</v>
      </c>
      <c r="I6" s="5" t="s">
        <v>25</v>
      </c>
      <c r="J6" s="8"/>
    </row>
    <row r="7">
      <c r="A7" s="5" t="s">
        <v>109</v>
      </c>
      <c r="B7" s="5" t="s">
        <v>112</v>
      </c>
      <c r="C7" s="12" t="s">
        <v>93</v>
      </c>
      <c r="D7" s="5" t="s">
        <v>19</v>
      </c>
      <c r="E7" s="5" t="s">
        <v>97</v>
      </c>
      <c r="F7" s="5" t="s">
        <v>119</v>
      </c>
      <c r="G7" s="5" t="s">
        <v>121</v>
      </c>
      <c r="H7" s="5" t="s">
        <v>122</v>
      </c>
      <c r="I7" s="5" t="s">
        <v>25</v>
      </c>
      <c r="J7" s="8"/>
    </row>
    <row r="8">
      <c r="A8" s="5" t="s">
        <v>126</v>
      </c>
      <c r="B8" s="5" t="s">
        <v>129</v>
      </c>
      <c r="C8" s="12" t="s">
        <v>131</v>
      </c>
      <c r="D8" s="5" t="s">
        <v>133</v>
      </c>
      <c r="E8" s="5" t="s">
        <v>136</v>
      </c>
      <c r="F8" s="5" t="s">
        <v>138</v>
      </c>
      <c r="G8" s="5" t="s">
        <v>141</v>
      </c>
      <c r="H8" s="5" t="s">
        <v>63</v>
      </c>
      <c r="I8" s="5" t="s">
        <v>25</v>
      </c>
      <c r="J8" s="8"/>
    </row>
    <row r="9">
      <c r="A9" s="5" t="s">
        <v>146</v>
      </c>
      <c r="B9" s="5" t="s">
        <v>148</v>
      </c>
      <c r="C9" s="12" t="s">
        <v>131</v>
      </c>
      <c r="D9" s="5" t="s">
        <v>133</v>
      </c>
      <c r="E9" s="5" t="s">
        <v>154</v>
      </c>
      <c r="F9" s="5" t="s">
        <v>155</v>
      </c>
      <c r="G9" s="5" t="s">
        <v>157</v>
      </c>
      <c r="H9" s="5" t="s">
        <v>160</v>
      </c>
      <c r="I9" s="5" t="s">
        <v>25</v>
      </c>
      <c r="J9" s="8"/>
    </row>
    <row r="10">
      <c r="A10" s="5" t="s">
        <v>164</v>
      </c>
      <c r="B10" s="5" t="s">
        <v>165</v>
      </c>
      <c r="C10" s="5" t="s">
        <v>167</v>
      </c>
      <c r="D10" s="5" t="s">
        <v>16</v>
      </c>
      <c r="E10" s="5" t="s">
        <v>171</v>
      </c>
      <c r="F10" s="5" t="s">
        <v>175</v>
      </c>
      <c r="G10" s="5" t="s">
        <v>177</v>
      </c>
      <c r="H10" s="5" t="s">
        <v>180</v>
      </c>
      <c r="I10" s="5" t="s">
        <v>25</v>
      </c>
      <c r="J10" s="8"/>
    </row>
    <row r="11">
      <c r="A11" s="5" t="s">
        <v>186</v>
      </c>
      <c r="B11" s="5" t="s">
        <v>188</v>
      </c>
      <c r="C11" s="5" t="s">
        <v>190</v>
      </c>
      <c r="D11" s="5" t="s">
        <v>19</v>
      </c>
      <c r="E11" s="5" t="s">
        <v>193</v>
      </c>
      <c r="F11" s="5" t="s">
        <v>195</v>
      </c>
      <c r="G11" s="5" t="s">
        <v>177</v>
      </c>
      <c r="H11" s="5" t="s">
        <v>199</v>
      </c>
      <c r="I11" s="5" t="s">
        <v>25</v>
      </c>
      <c r="J11" s="8"/>
    </row>
    <row r="12">
      <c r="A12" s="18"/>
      <c r="B12" s="18"/>
      <c r="C12" s="18"/>
      <c r="D12" s="18"/>
      <c r="E12" s="18"/>
      <c r="F12" s="18"/>
      <c r="G12" s="18"/>
      <c r="H12" s="18"/>
      <c r="I12" s="1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18.75"/>
    <col customWidth="1" min="3" max="3" width="25.13"/>
    <col customWidth="1" min="5" max="5" width="19.88"/>
    <col customWidth="1" min="6" max="6" width="19.5"/>
    <col customWidth="1" min="7" max="7" width="17.25"/>
    <col customWidth="1" min="8" max="8" width="19.88"/>
    <col customWidth="1" min="10" max="10" width="19.0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3" t="s">
        <v>10</v>
      </c>
    </row>
    <row r="2">
      <c r="A2" s="5" t="s">
        <v>11</v>
      </c>
      <c r="B2" s="5" t="s">
        <v>12</v>
      </c>
      <c r="C2" s="5" t="s">
        <v>14</v>
      </c>
      <c r="D2" s="5" t="s">
        <v>16</v>
      </c>
      <c r="E2" s="5" t="s">
        <v>18</v>
      </c>
      <c r="F2" s="5" t="s">
        <v>20</v>
      </c>
      <c r="G2" s="5" t="s">
        <v>21</v>
      </c>
      <c r="H2" s="5" t="s">
        <v>23</v>
      </c>
      <c r="I2" s="5" t="s">
        <v>25</v>
      </c>
      <c r="J2" s="8" t="s">
        <v>28</v>
      </c>
    </row>
    <row r="3">
      <c r="A3" s="5" t="s">
        <v>29</v>
      </c>
      <c r="B3" s="5" t="s">
        <v>30</v>
      </c>
      <c r="C3" s="5" t="s">
        <v>32</v>
      </c>
      <c r="D3" s="5" t="s">
        <v>19</v>
      </c>
      <c r="E3" s="9" t="s">
        <v>34</v>
      </c>
      <c r="F3" s="5" t="s">
        <v>36</v>
      </c>
      <c r="G3" s="5" t="s">
        <v>38</v>
      </c>
      <c r="H3" s="5" t="s">
        <v>40</v>
      </c>
      <c r="I3" s="5" t="s">
        <v>25</v>
      </c>
      <c r="J3" s="8" t="s">
        <v>45</v>
      </c>
    </row>
    <row r="4">
      <c r="A4" s="5" t="s">
        <v>48</v>
      </c>
      <c r="B4" s="5" t="s">
        <v>51</v>
      </c>
      <c r="C4" s="5" t="s">
        <v>54</v>
      </c>
      <c r="D4" s="5" t="s">
        <v>57</v>
      </c>
      <c r="E4" s="5" t="s">
        <v>60</v>
      </c>
      <c r="F4" s="5" t="s">
        <v>62</v>
      </c>
      <c r="G4" s="5" t="s">
        <v>64</v>
      </c>
      <c r="H4" s="5" t="s">
        <v>63</v>
      </c>
      <c r="I4" s="5" t="s">
        <v>25</v>
      </c>
      <c r="J4" s="8" t="s">
        <v>68</v>
      </c>
    </row>
    <row r="5">
      <c r="A5" s="5" t="s">
        <v>72</v>
      </c>
      <c r="B5" s="5" t="s">
        <v>75</v>
      </c>
      <c r="C5" s="5" t="s">
        <v>54</v>
      </c>
      <c r="D5" s="5" t="s">
        <v>78</v>
      </c>
      <c r="E5" s="5" t="s">
        <v>81</v>
      </c>
      <c r="F5" s="5" t="s">
        <v>83</v>
      </c>
      <c r="G5" s="5" t="s">
        <v>95</v>
      </c>
      <c r="H5" s="5" t="s">
        <v>63</v>
      </c>
      <c r="I5" s="5" t="s">
        <v>25</v>
      </c>
      <c r="J5" s="8" t="s">
        <v>101</v>
      </c>
    </row>
    <row r="6">
      <c r="A6" s="5" t="s">
        <v>104</v>
      </c>
      <c r="B6" s="5" t="s">
        <v>105</v>
      </c>
      <c r="C6" s="12" t="s">
        <v>107</v>
      </c>
      <c r="D6" s="5" t="s">
        <v>110</v>
      </c>
      <c r="E6" s="5" t="s">
        <v>113</v>
      </c>
      <c r="F6" s="5" t="s">
        <v>114</v>
      </c>
      <c r="G6" s="5" t="s">
        <v>116</v>
      </c>
      <c r="H6" s="5" t="s">
        <v>118</v>
      </c>
      <c r="I6" s="5" t="s">
        <v>25</v>
      </c>
      <c r="J6" s="8" t="s">
        <v>123</v>
      </c>
    </row>
    <row r="7">
      <c r="A7" s="5" t="s">
        <v>125</v>
      </c>
      <c r="B7" s="5" t="s">
        <v>128</v>
      </c>
      <c r="C7" s="5" t="s">
        <v>130</v>
      </c>
      <c r="D7" s="5" t="s">
        <v>57</v>
      </c>
      <c r="E7" s="5" t="s">
        <v>137</v>
      </c>
      <c r="F7" s="5" t="s">
        <v>140</v>
      </c>
      <c r="G7" s="5" t="s">
        <v>143</v>
      </c>
      <c r="H7" s="5" t="s">
        <v>144</v>
      </c>
      <c r="I7" s="5" t="s">
        <v>25</v>
      </c>
      <c r="J7" s="8" t="s">
        <v>145</v>
      </c>
    </row>
    <row r="8">
      <c r="A8" s="5" t="s">
        <v>147</v>
      </c>
      <c r="B8" s="5" t="s">
        <v>150</v>
      </c>
      <c r="C8" s="12" t="s">
        <v>152</v>
      </c>
      <c r="D8" s="5" t="s">
        <v>19</v>
      </c>
      <c r="E8" s="5" t="s">
        <v>156</v>
      </c>
      <c r="F8" s="5" t="s">
        <v>159</v>
      </c>
      <c r="G8" s="5" t="s">
        <v>162</v>
      </c>
      <c r="H8" s="5" t="s">
        <v>63</v>
      </c>
      <c r="I8" s="5" t="s">
        <v>25</v>
      </c>
      <c r="J8" s="8" t="s">
        <v>166</v>
      </c>
    </row>
    <row r="9">
      <c r="A9" s="5" t="s">
        <v>168</v>
      </c>
      <c r="B9" s="5" t="s">
        <v>170</v>
      </c>
      <c r="C9" s="12" t="s">
        <v>174</v>
      </c>
      <c r="D9" s="5" t="s">
        <v>133</v>
      </c>
      <c r="E9" s="5" t="s">
        <v>178</v>
      </c>
      <c r="F9" s="5" t="s">
        <v>181</v>
      </c>
      <c r="G9" s="5" t="s">
        <v>183</v>
      </c>
      <c r="H9" s="5" t="s">
        <v>185</v>
      </c>
      <c r="I9" s="5" t="s">
        <v>25</v>
      </c>
      <c r="J9" s="8" t="s">
        <v>189</v>
      </c>
    </row>
    <row r="10">
      <c r="A10" s="5" t="s">
        <v>191</v>
      </c>
      <c r="B10" s="5" t="s">
        <v>192</v>
      </c>
      <c r="C10" s="5" t="s">
        <v>174</v>
      </c>
      <c r="D10" s="5" t="s">
        <v>197</v>
      </c>
      <c r="E10" s="5" t="s">
        <v>198</v>
      </c>
      <c r="F10" s="5" t="s">
        <v>181</v>
      </c>
      <c r="G10" s="5" t="s">
        <v>202</v>
      </c>
      <c r="H10" s="5" t="s">
        <v>204</v>
      </c>
      <c r="I10" s="5" t="s">
        <v>25</v>
      </c>
      <c r="J10" s="8" t="s">
        <v>206</v>
      </c>
    </row>
    <row r="11">
      <c r="A11" s="5" t="s">
        <v>207</v>
      </c>
      <c r="B11" s="5" t="s">
        <v>209</v>
      </c>
      <c r="C11" s="5" t="s">
        <v>211</v>
      </c>
      <c r="D11" s="5" t="s">
        <v>110</v>
      </c>
      <c r="E11" s="5" t="s">
        <v>214</v>
      </c>
      <c r="F11" s="5" t="s">
        <v>217</v>
      </c>
      <c r="G11" s="5" t="s">
        <v>219</v>
      </c>
      <c r="H11" s="5" t="s">
        <v>221</v>
      </c>
      <c r="I11" s="5" t="s">
        <v>25</v>
      </c>
      <c r="J11" s="8" t="s">
        <v>224</v>
      </c>
    </row>
    <row r="12">
      <c r="C12" s="18"/>
      <c r="D12" s="18"/>
      <c r="E12" s="18"/>
      <c r="G12" s="18"/>
      <c r="H12" s="18"/>
      <c r="I12" s="18"/>
    </row>
    <row r="13">
      <c r="F13" s="1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8.75"/>
    <col customWidth="1" min="3" max="3" width="25.13"/>
    <col customWidth="1" min="5" max="5" width="19.88"/>
    <col customWidth="1" min="6" max="6" width="19.5"/>
    <col customWidth="1" min="7" max="7" width="17.25"/>
    <col customWidth="1" min="8" max="8" width="19.88"/>
    <col customWidth="1" min="10" max="10" width="19.0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3" t="s">
        <v>10</v>
      </c>
    </row>
    <row r="2">
      <c r="A2" s="5" t="s">
        <v>41</v>
      </c>
      <c r="B2" s="5" t="s">
        <v>44</v>
      </c>
      <c r="C2" s="5" t="s">
        <v>46</v>
      </c>
      <c r="D2" s="5" t="s">
        <v>49</v>
      </c>
      <c r="E2" s="5" t="s">
        <v>53</v>
      </c>
      <c r="F2" s="5" t="s">
        <v>56</v>
      </c>
      <c r="G2" s="5" t="s">
        <v>58</v>
      </c>
      <c r="H2" s="5" t="s">
        <v>63</v>
      </c>
      <c r="I2" s="5" t="s">
        <v>25</v>
      </c>
      <c r="J2" s="5"/>
    </row>
    <row r="3">
      <c r="A3" s="5" t="s">
        <v>69</v>
      </c>
      <c r="B3" s="5" t="s">
        <v>71</v>
      </c>
      <c r="C3" s="5" t="s">
        <v>74</v>
      </c>
      <c r="D3" s="5" t="s">
        <v>76</v>
      </c>
      <c r="E3" s="5" t="s">
        <v>77</v>
      </c>
      <c r="F3" s="5" t="s">
        <v>79</v>
      </c>
      <c r="G3" s="5" t="s">
        <v>82</v>
      </c>
      <c r="H3" s="5" t="s">
        <v>85</v>
      </c>
      <c r="I3" s="5" t="s">
        <v>25</v>
      </c>
      <c r="J3" s="5"/>
    </row>
    <row r="4">
      <c r="A4" s="5" t="s">
        <v>87</v>
      </c>
      <c r="B4" s="5" t="s">
        <v>89</v>
      </c>
      <c r="C4" s="5" t="s">
        <v>74</v>
      </c>
      <c r="D4" s="5" t="s">
        <v>92</v>
      </c>
      <c r="E4" s="5" t="s">
        <v>94</v>
      </c>
      <c r="F4" s="5" t="s">
        <v>96</v>
      </c>
      <c r="G4" s="5" t="s">
        <v>98</v>
      </c>
      <c r="H4" s="5" t="s">
        <v>100</v>
      </c>
      <c r="I4" s="5" t="s">
        <v>25</v>
      </c>
      <c r="J4" s="5"/>
    </row>
    <row r="5">
      <c r="A5" s="5" t="s">
        <v>106</v>
      </c>
      <c r="B5" s="5" t="s">
        <v>108</v>
      </c>
      <c r="C5" s="5" t="s">
        <v>111</v>
      </c>
      <c r="D5" s="5" t="s">
        <v>49</v>
      </c>
      <c r="E5" s="5" t="s">
        <v>115</v>
      </c>
      <c r="F5" s="5" t="s">
        <v>117</v>
      </c>
      <c r="G5" s="5" t="s">
        <v>120</v>
      </c>
      <c r="H5" s="5" t="s">
        <v>63</v>
      </c>
      <c r="I5" s="5" t="s">
        <v>25</v>
      </c>
      <c r="J5" s="5"/>
    </row>
    <row r="6">
      <c r="A6" s="5" t="s">
        <v>124</v>
      </c>
      <c r="B6" s="5" t="s">
        <v>127</v>
      </c>
      <c r="C6" s="5" t="s">
        <v>111</v>
      </c>
      <c r="D6" s="5" t="s">
        <v>92</v>
      </c>
      <c r="E6" s="5" t="s">
        <v>135</v>
      </c>
      <c r="F6" s="5" t="s">
        <v>139</v>
      </c>
      <c r="G6" s="5" t="s">
        <v>142</v>
      </c>
      <c r="H6" s="5" t="s">
        <v>63</v>
      </c>
      <c r="I6" s="5" t="s">
        <v>25</v>
      </c>
      <c r="J6" s="5"/>
    </row>
    <row r="7">
      <c r="A7" s="5" t="s">
        <v>149</v>
      </c>
      <c r="B7" s="5" t="s">
        <v>151</v>
      </c>
      <c r="C7" s="5" t="s">
        <v>153</v>
      </c>
      <c r="D7" s="5" t="s">
        <v>49</v>
      </c>
      <c r="E7" s="5" t="s">
        <v>158</v>
      </c>
      <c r="F7" s="5" t="s">
        <v>161</v>
      </c>
      <c r="G7" s="5" t="s">
        <v>163</v>
      </c>
      <c r="H7" s="5" t="s">
        <v>63</v>
      </c>
      <c r="I7" s="5" t="s">
        <v>25</v>
      </c>
      <c r="J7" s="5"/>
    </row>
    <row r="8">
      <c r="A8" s="5" t="s">
        <v>169</v>
      </c>
      <c r="B8" s="5" t="s">
        <v>173</v>
      </c>
      <c r="C8" s="5" t="s">
        <v>176</v>
      </c>
      <c r="D8" s="5" t="s">
        <v>179</v>
      </c>
      <c r="E8" s="5" t="s">
        <v>182</v>
      </c>
      <c r="F8" s="5" t="s">
        <v>184</v>
      </c>
      <c r="G8" s="5" t="s">
        <v>187</v>
      </c>
      <c r="H8" s="5" t="s">
        <v>63</v>
      </c>
      <c r="I8" s="5" t="s">
        <v>25</v>
      </c>
      <c r="J8" s="5"/>
    </row>
    <row r="9">
      <c r="A9" s="5" t="s">
        <v>194</v>
      </c>
      <c r="B9" s="5" t="s">
        <v>196</v>
      </c>
      <c r="C9" s="5" t="s">
        <v>205</v>
      </c>
      <c r="D9" s="5" t="s">
        <v>49</v>
      </c>
      <c r="E9" s="5" t="s">
        <v>208</v>
      </c>
      <c r="F9" s="5" t="s">
        <v>210</v>
      </c>
      <c r="G9" s="5" t="s">
        <v>212</v>
      </c>
      <c r="H9" s="5" t="s">
        <v>213</v>
      </c>
      <c r="I9" s="5" t="s">
        <v>25</v>
      </c>
      <c r="J9" s="5"/>
    </row>
    <row r="10">
      <c r="A10" s="5" t="s">
        <v>222</v>
      </c>
      <c r="B10" s="5" t="s">
        <v>223</v>
      </c>
      <c r="C10" s="5" t="s">
        <v>225</v>
      </c>
      <c r="D10" s="5" t="s">
        <v>226</v>
      </c>
      <c r="E10" s="5" t="s">
        <v>227</v>
      </c>
      <c r="F10" s="5" t="s">
        <v>228</v>
      </c>
      <c r="G10" s="5" t="s">
        <v>229</v>
      </c>
      <c r="H10" s="5" t="s">
        <v>230</v>
      </c>
      <c r="I10" s="5" t="s">
        <v>25</v>
      </c>
      <c r="J10" s="5"/>
    </row>
    <row r="11">
      <c r="A11" s="5" t="s">
        <v>234</v>
      </c>
      <c r="B11" s="5" t="s">
        <v>236</v>
      </c>
      <c r="C11" s="5" t="s">
        <v>237</v>
      </c>
      <c r="D11" s="5" t="s">
        <v>49</v>
      </c>
      <c r="E11" s="5" t="s">
        <v>238</v>
      </c>
      <c r="F11" s="5" t="s">
        <v>239</v>
      </c>
      <c r="G11" s="5" t="s">
        <v>240</v>
      </c>
      <c r="H11" s="5" t="s">
        <v>63</v>
      </c>
      <c r="I11" s="5" t="s">
        <v>25</v>
      </c>
      <c r="J11" s="5"/>
    </row>
    <row r="12">
      <c r="A12" s="5" t="s">
        <v>243</v>
      </c>
      <c r="B12" s="5" t="s">
        <v>245</v>
      </c>
      <c r="C12" s="5" t="s">
        <v>237</v>
      </c>
      <c r="D12" s="5" t="s">
        <v>92</v>
      </c>
      <c r="E12" s="5" t="s">
        <v>246</v>
      </c>
      <c r="F12" s="5" t="s">
        <v>247</v>
      </c>
      <c r="G12" s="5" t="s">
        <v>249</v>
      </c>
      <c r="H12" s="5" t="s">
        <v>63</v>
      </c>
      <c r="I12" s="5" t="s">
        <v>25</v>
      </c>
      <c r="J12" s="5"/>
    </row>
    <row r="13">
      <c r="A13" s="5" t="s">
        <v>253</v>
      </c>
      <c r="B13" s="5" t="s">
        <v>254</v>
      </c>
      <c r="C13" s="5" t="s">
        <v>255</v>
      </c>
      <c r="D13" s="5" t="s">
        <v>256</v>
      </c>
      <c r="E13" s="5" t="s">
        <v>257</v>
      </c>
      <c r="F13" s="5" t="s">
        <v>260</v>
      </c>
      <c r="G13" s="5" t="s">
        <v>263</v>
      </c>
      <c r="H13" s="5" t="s">
        <v>63</v>
      </c>
      <c r="I13" s="5" t="s">
        <v>25</v>
      </c>
      <c r="J13" s="5"/>
    </row>
    <row r="14">
      <c r="A14" s="5" t="s">
        <v>264</v>
      </c>
      <c r="B14" s="5" t="s">
        <v>265</v>
      </c>
      <c r="C14" s="5" t="s">
        <v>255</v>
      </c>
      <c r="D14" s="5" t="s">
        <v>269</v>
      </c>
      <c r="E14" s="5" t="s">
        <v>270</v>
      </c>
      <c r="F14" s="5" t="s">
        <v>271</v>
      </c>
      <c r="G14" s="5" t="s">
        <v>249</v>
      </c>
      <c r="H14" s="5" t="s">
        <v>63</v>
      </c>
      <c r="I14" s="5" t="s">
        <v>25</v>
      </c>
      <c r="J14" s="5"/>
    </row>
    <row r="15">
      <c r="A15" s="5" t="s">
        <v>272</v>
      </c>
      <c r="B15" s="5" t="s">
        <v>273</v>
      </c>
      <c r="C15" s="5" t="s">
        <v>274</v>
      </c>
      <c r="D15" s="5" t="s">
        <v>276</v>
      </c>
      <c r="E15" s="5" t="s">
        <v>277</v>
      </c>
      <c r="F15" s="5" t="s">
        <v>278</v>
      </c>
      <c r="G15" s="5" t="s">
        <v>279</v>
      </c>
      <c r="H15" s="5" t="s">
        <v>63</v>
      </c>
      <c r="I15" s="5" t="s">
        <v>25</v>
      </c>
      <c r="J15" s="5"/>
    </row>
    <row r="16">
      <c r="A16" s="5" t="s">
        <v>281</v>
      </c>
      <c r="B16" s="5" t="s">
        <v>283</v>
      </c>
      <c r="C16" s="5" t="s">
        <v>274</v>
      </c>
      <c r="D16" s="5" t="s">
        <v>49</v>
      </c>
      <c r="E16" s="5" t="s">
        <v>286</v>
      </c>
      <c r="F16" s="5" t="s">
        <v>287</v>
      </c>
      <c r="G16" s="5" t="s">
        <v>288</v>
      </c>
      <c r="H16" s="5" t="s">
        <v>289</v>
      </c>
      <c r="I16" s="5" t="s">
        <v>25</v>
      </c>
      <c r="J16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42.63"/>
    <col customWidth="1" min="3" max="3" width="25.13"/>
    <col customWidth="1" min="5" max="5" width="19.88"/>
    <col customWidth="1" min="6" max="6" width="19.5"/>
    <col customWidth="1" min="7" max="7" width="17.25"/>
    <col customWidth="1" min="8" max="8" width="32.88"/>
    <col customWidth="1" min="10" max="10" width="19.0"/>
  </cols>
  <sheetData>
    <row r="1">
      <c r="A1" s="22" t="s">
        <v>1</v>
      </c>
      <c r="B1" s="22" t="s">
        <v>2</v>
      </c>
      <c r="C1" s="22" t="s">
        <v>3</v>
      </c>
      <c r="D1" s="22" t="s">
        <v>4</v>
      </c>
      <c r="E1" s="22" t="s">
        <v>5</v>
      </c>
      <c r="F1" s="22" t="s">
        <v>6</v>
      </c>
      <c r="G1" s="22" t="s">
        <v>7</v>
      </c>
      <c r="H1" s="22" t="s">
        <v>8</v>
      </c>
      <c r="I1" s="22" t="s">
        <v>9</v>
      </c>
      <c r="J1" s="26" t="s">
        <v>10</v>
      </c>
    </row>
    <row r="2">
      <c r="A2" s="28" t="s">
        <v>300</v>
      </c>
      <c r="B2" s="28" t="s">
        <v>302</v>
      </c>
      <c r="C2" s="28" t="s">
        <v>304</v>
      </c>
      <c r="D2" s="28" t="s">
        <v>57</v>
      </c>
      <c r="E2" s="28" t="s">
        <v>59</v>
      </c>
      <c r="F2" s="28" t="s">
        <v>306</v>
      </c>
      <c r="G2" s="28" t="s">
        <v>307</v>
      </c>
      <c r="H2" s="28" t="s">
        <v>308</v>
      </c>
      <c r="I2" s="28" t="s">
        <v>25</v>
      </c>
      <c r="J2" s="32"/>
    </row>
    <row r="3">
      <c r="A3" s="28" t="s">
        <v>326</v>
      </c>
      <c r="B3" s="28" t="s">
        <v>327</v>
      </c>
      <c r="C3" s="28" t="s">
        <v>304</v>
      </c>
      <c r="D3" s="28" t="s">
        <v>57</v>
      </c>
      <c r="E3" s="28" t="s">
        <v>59</v>
      </c>
      <c r="F3" s="28" t="s">
        <v>330</v>
      </c>
      <c r="G3" s="28" t="s">
        <v>307</v>
      </c>
      <c r="H3" s="28" t="s">
        <v>308</v>
      </c>
      <c r="I3" s="28" t="s">
        <v>25</v>
      </c>
      <c r="J3" s="32"/>
    </row>
    <row r="4">
      <c r="A4" s="28" t="s">
        <v>339</v>
      </c>
      <c r="B4" s="28" t="s">
        <v>341</v>
      </c>
      <c r="C4" s="28" t="s">
        <v>342</v>
      </c>
      <c r="D4" s="28" t="s">
        <v>57</v>
      </c>
      <c r="E4" s="28" t="s">
        <v>59</v>
      </c>
      <c r="F4" s="28" t="s">
        <v>343</v>
      </c>
      <c r="G4" s="28" t="s">
        <v>344</v>
      </c>
      <c r="H4" s="28" t="s">
        <v>345</v>
      </c>
      <c r="I4" s="28" t="s">
        <v>25</v>
      </c>
      <c r="J4" s="32"/>
    </row>
    <row r="5">
      <c r="A5" s="28" t="s">
        <v>346</v>
      </c>
      <c r="B5" s="28" t="s">
        <v>349</v>
      </c>
      <c r="C5" s="28" t="s">
        <v>342</v>
      </c>
      <c r="D5" s="28" t="s">
        <v>19</v>
      </c>
      <c r="E5" s="28" t="s">
        <v>351</v>
      </c>
      <c r="F5" s="28" t="s">
        <v>352</v>
      </c>
      <c r="G5" s="28" t="s">
        <v>353</v>
      </c>
      <c r="H5" s="28" t="s">
        <v>354</v>
      </c>
      <c r="I5" s="28" t="s">
        <v>25</v>
      </c>
      <c r="J5" s="32"/>
    </row>
    <row r="6">
      <c r="A6" s="28" t="s">
        <v>356</v>
      </c>
      <c r="B6" s="28" t="s">
        <v>357</v>
      </c>
      <c r="C6" s="41" t="s">
        <v>342</v>
      </c>
      <c r="D6" s="28" t="s">
        <v>19</v>
      </c>
      <c r="E6" s="28" t="s">
        <v>360</v>
      </c>
      <c r="F6" s="28" t="s">
        <v>361</v>
      </c>
      <c r="G6" s="28" t="s">
        <v>362</v>
      </c>
      <c r="H6" s="28" t="s">
        <v>363</v>
      </c>
      <c r="I6" s="28" t="s">
        <v>25</v>
      </c>
      <c r="J6" s="32"/>
    </row>
    <row r="7">
      <c r="A7" s="28" t="s">
        <v>365</v>
      </c>
      <c r="B7" s="28" t="s">
        <v>366</v>
      </c>
      <c r="C7" s="41" t="s">
        <v>368</v>
      </c>
      <c r="D7" s="28" t="s">
        <v>57</v>
      </c>
      <c r="E7" s="28" t="s">
        <v>59</v>
      </c>
      <c r="F7" s="28" t="s">
        <v>371</v>
      </c>
      <c r="G7" s="28" t="s">
        <v>372</v>
      </c>
      <c r="H7" s="28" t="s">
        <v>345</v>
      </c>
      <c r="I7" s="28" t="s">
        <v>25</v>
      </c>
      <c r="J7" s="32"/>
    </row>
    <row r="8">
      <c r="A8" s="28" t="s">
        <v>373</v>
      </c>
      <c r="B8" s="28" t="s">
        <v>374</v>
      </c>
      <c r="C8" s="41" t="s">
        <v>375</v>
      </c>
      <c r="D8" s="28" t="s">
        <v>19</v>
      </c>
      <c r="E8" s="28" t="s">
        <v>377</v>
      </c>
      <c r="F8" s="28" t="s">
        <v>378</v>
      </c>
      <c r="G8" s="28" t="s">
        <v>379</v>
      </c>
      <c r="H8" s="28" t="s">
        <v>381</v>
      </c>
      <c r="I8" s="28" t="s">
        <v>25</v>
      </c>
      <c r="J8" s="32"/>
    </row>
    <row r="9">
      <c r="A9" s="28" t="s">
        <v>383</v>
      </c>
      <c r="B9" s="28" t="s">
        <v>384</v>
      </c>
      <c r="C9" s="28" t="s">
        <v>375</v>
      </c>
      <c r="D9" s="28" t="s">
        <v>19</v>
      </c>
      <c r="E9" s="28" t="s">
        <v>386</v>
      </c>
      <c r="F9" s="28" t="s">
        <v>387</v>
      </c>
      <c r="G9" s="28" t="s">
        <v>388</v>
      </c>
      <c r="H9" s="28" t="s">
        <v>390</v>
      </c>
      <c r="I9" s="28" t="s">
        <v>25</v>
      </c>
      <c r="J9" s="32"/>
    </row>
    <row r="10">
      <c r="A10" s="28" t="s">
        <v>392</v>
      </c>
      <c r="B10" s="28" t="s">
        <v>393</v>
      </c>
      <c r="C10" s="41" t="s">
        <v>395</v>
      </c>
      <c r="D10" s="28" t="s">
        <v>57</v>
      </c>
      <c r="E10" s="28" t="s">
        <v>396</v>
      </c>
      <c r="F10" s="28" t="s">
        <v>343</v>
      </c>
      <c r="G10" s="28" t="s">
        <v>397</v>
      </c>
      <c r="H10" s="28" t="s">
        <v>345</v>
      </c>
      <c r="I10" s="28" t="s">
        <v>25</v>
      </c>
      <c r="J10" s="32"/>
    </row>
    <row r="11">
      <c r="A11" s="28" t="s">
        <v>399</v>
      </c>
      <c r="B11" s="28" t="s">
        <v>400</v>
      </c>
      <c r="C11" s="41" t="s">
        <v>395</v>
      </c>
      <c r="D11" s="28" t="s">
        <v>19</v>
      </c>
      <c r="E11" s="28" t="s">
        <v>402</v>
      </c>
      <c r="F11" s="28" t="s">
        <v>404</v>
      </c>
      <c r="G11" s="28" t="s">
        <v>405</v>
      </c>
      <c r="H11" s="28" t="s">
        <v>406</v>
      </c>
      <c r="I11" s="28" t="s">
        <v>25</v>
      </c>
      <c r="J11" s="32"/>
    </row>
    <row r="12">
      <c r="A12" s="51"/>
      <c r="B12" s="51"/>
      <c r="C12" s="51"/>
      <c r="D12" s="51"/>
      <c r="E12" s="51"/>
      <c r="F12" s="51"/>
      <c r="G12" s="51"/>
      <c r="H12" s="51"/>
      <c r="I12" s="51"/>
      <c r="J12" s="5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7" max="7" width="20.13"/>
  </cols>
  <sheetData>
    <row r="1">
      <c r="A1" s="23" t="s">
        <v>294</v>
      </c>
    </row>
    <row r="2">
      <c r="A2" s="24" t="s">
        <v>295</v>
      </c>
      <c r="B2" s="25" t="s">
        <v>296</v>
      </c>
      <c r="C2" s="25" t="s">
        <v>297</v>
      </c>
      <c r="D2" s="25" t="s">
        <v>299</v>
      </c>
      <c r="E2" s="25" t="s">
        <v>301</v>
      </c>
      <c r="F2" s="25" t="s">
        <v>303</v>
      </c>
      <c r="G2" s="29" t="s">
        <v>305</v>
      </c>
      <c r="H2" s="30"/>
    </row>
    <row r="3">
      <c r="A3" s="31" t="s">
        <v>291</v>
      </c>
      <c r="B3" s="34">
        <v>206.0</v>
      </c>
      <c r="C3" s="34">
        <v>95.0</v>
      </c>
      <c r="D3" s="34">
        <v>48.0</v>
      </c>
      <c r="E3" s="34">
        <v>4.0</v>
      </c>
      <c r="F3" s="37">
        <v>0.48</v>
      </c>
      <c r="G3" s="39" t="s">
        <v>347</v>
      </c>
      <c r="H3" s="30"/>
    </row>
    <row r="4">
      <c r="A4" s="31" t="s">
        <v>311</v>
      </c>
      <c r="B4" s="34">
        <v>110.0</v>
      </c>
      <c r="C4" s="34">
        <v>30.0</v>
      </c>
      <c r="D4" s="34">
        <v>26.0</v>
      </c>
      <c r="E4" s="34">
        <v>3.0</v>
      </c>
      <c r="F4" s="37">
        <v>0.64</v>
      </c>
      <c r="G4" s="39" t="s">
        <v>355</v>
      </c>
      <c r="H4" s="30"/>
    </row>
    <row r="5">
      <c r="A5" s="31" t="s">
        <v>359</v>
      </c>
      <c r="B5" s="34">
        <v>22.0</v>
      </c>
      <c r="C5" s="34">
        <v>1.0</v>
      </c>
      <c r="D5" s="34">
        <v>0.0</v>
      </c>
      <c r="E5" s="34">
        <v>0.0</v>
      </c>
      <c r="F5" s="37">
        <v>0.95</v>
      </c>
      <c r="G5" s="39" t="s">
        <v>364</v>
      </c>
      <c r="H5" s="30"/>
    </row>
    <row r="6">
      <c r="A6" s="31" t="s">
        <v>367</v>
      </c>
      <c r="B6" s="34">
        <v>3.0</v>
      </c>
      <c r="C6" s="34">
        <v>0.0</v>
      </c>
      <c r="D6" s="34">
        <v>0.0</v>
      </c>
      <c r="E6" s="34">
        <v>0.0</v>
      </c>
      <c r="F6" s="37">
        <v>1.0</v>
      </c>
      <c r="G6" s="39" t="s">
        <v>376</v>
      </c>
      <c r="H6" s="30"/>
    </row>
    <row r="7">
      <c r="A7" s="31" t="s">
        <v>380</v>
      </c>
      <c r="B7" s="34">
        <v>102.0</v>
      </c>
      <c r="C7" s="34">
        <v>0.0</v>
      </c>
      <c r="D7" s="34">
        <v>0.0</v>
      </c>
      <c r="E7" s="34">
        <v>0.0</v>
      </c>
      <c r="F7" s="37">
        <v>1.0</v>
      </c>
      <c r="G7" s="39" t="s">
        <v>389</v>
      </c>
      <c r="H7" s="30"/>
    </row>
    <row r="8">
      <c r="A8" s="31" t="s">
        <v>394</v>
      </c>
      <c r="B8" s="34">
        <v>95.0</v>
      </c>
      <c r="C8" s="34">
        <v>48.0</v>
      </c>
      <c r="D8" s="34">
        <v>26.0</v>
      </c>
      <c r="E8" s="34">
        <v>6.0</v>
      </c>
      <c r="F8" s="37">
        <v>0.45</v>
      </c>
      <c r="G8" s="39" t="s">
        <v>398</v>
      </c>
      <c r="H8" s="30"/>
    </row>
    <row r="9">
      <c r="A9" s="31" t="s">
        <v>401</v>
      </c>
      <c r="B9" s="34">
        <v>14.0</v>
      </c>
      <c r="C9" s="34">
        <v>10.0</v>
      </c>
      <c r="D9" s="34">
        <v>2.0</v>
      </c>
      <c r="E9" s="34">
        <v>0.0</v>
      </c>
      <c r="F9" s="37">
        <v>0.25</v>
      </c>
      <c r="G9" s="39" t="s">
        <v>407</v>
      </c>
      <c r="H9" s="30"/>
    </row>
    <row r="10">
      <c r="A10" s="31" t="s">
        <v>409</v>
      </c>
      <c r="B10" s="34">
        <v>111.0</v>
      </c>
      <c r="C10" s="34">
        <v>44.0</v>
      </c>
      <c r="D10" s="34">
        <v>6.0</v>
      </c>
      <c r="E10" s="34">
        <v>2.0</v>
      </c>
      <c r="F10" s="37">
        <v>0.61</v>
      </c>
      <c r="G10" s="39" t="s">
        <v>411</v>
      </c>
      <c r="H10" s="30"/>
    </row>
    <row r="11">
      <c r="A11" s="31" t="s">
        <v>413</v>
      </c>
      <c r="B11" s="34">
        <v>22.0</v>
      </c>
      <c r="C11" s="34">
        <v>2.0</v>
      </c>
      <c r="D11" s="34">
        <v>0.0</v>
      </c>
      <c r="E11" s="34">
        <v>0.0</v>
      </c>
      <c r="F11" s="37">
        <v>0.91</v>
      </c>
      <c r="G11" s="39" t="s">
        <v>414</v>
      </c>
      <c r="H11" s="30"/>
    </row>
    <row r="12">
      <c r="A12" s="31" t="s">
        <v>415</v>
      </c>
      <c r="B12" s="34">
        <v>20.0</v>
      </c>
      <c r="C12" s="34">
        <v>0.0</v>
      </c>
      <c r="D12" s="34">
        <v>0.0</v>
      </c>
      <c r="E12" s="34">
        <v>0.0</v>
      </c>
      <c r="F12" s="37">
        <v>1.0</v>
      </c>
      <c r="G12" s="39" t="s">
        <v>417</v>
      </c>
      <c r="H12" s="30"/>
    </row>
    <row r="13">
      <c r="A13" s="31" t="s">
        <v>418</v>
      </c>
      <c r="B13" s="34">
        <v>1.0</v>
      </c>
      <c r="C13" s="34">
        <v>1.0</v>
      </c>
      <c r="D13" s="34">
        <v>0.0</v>
      </c>
      <c r="E13" s="34">
        <v>0.0</v>
      </c>
      <c r="F13" s="37">
        <v>0.0</v>
      </c>
      <c r="G13" s="39" t="s">
        <v>420</v>
      </c>
      <c r="H13" s="30"/>
    </row>
    <row r="14">
      <c r="A14" s="31" t="s">
        <v>422</v>
      </c>
      <c r="B14" s="34">
        <v>119.0</v>
      </c>
      <c r="C14" s="34">
        <v>0.0</v>
      </c>
      <c r="D14" s="34">
        <v>0.0</v>
      </c>
      <c r="E14" s="34">
        <v>0.0</v>
      </c>
      <c r="F14" s="37">
        <v>1.0</v>
      </c>
      <c r="G14" s="55"/>
      <c r="H14" s="30"/>
    </row>
    <row r="15">
      <c r="A15" s="31" t="s">
        <v>315</v>
      </c>
      <c r="B15" s="34">
        <v>53.0</v>
      </c>
      <c r="C15" s="34">
        <v>3.0</v>
      </c>
      <c r="D15" s="34">
        <v>2.0</v>
      </c>
      <c r="E15" s="34">
        <v>0.0</v>
      </c>
      <c r="F15" s="37">
        <v>0.95</v>
      </c>
      <c r="G15" s="39" t="s">
        <v>424</v>
      </c>
      <c r="H15" s="30"/>
    </row>
    <row r="16">
      <c r="A16" s="31" t="s">
        <v>318</v>
      </c>
      <c r="B16" s="34">
        <v>94.0</v>
      </c>
      <c r="C16" s="34">
        <v>45.0</v>
      </c>
      <c r="D16" s="34">
        <v>26.0</v>
      </c>
      <c r="E16" s="34">
        <v>2.0</v>
      </c>
      <c r="F16" s="37">
        <v>0.42</v>
      </c>
      <c r="G16" s="39" t="s">
        <v>426</v>
      </c>
      <c r="H16" s="30"/>
    </row>
    <row r="17">
      <c r="A17" s="31" t="s">
        <v>321</v>
      </c>
      <c r="B17" s="34">
        <v>366.0</v>
      </c>
      <c r="C17" s="34">
        <v>210.0</v>
      </c>
      <c r="D17" s="34">
        <v>146.0</v>
      </c>
      <c r="E17" s="34">
        <v>22.0</v>
      </c>
      <c r="F17" s="37">
        <v>0.36</v>
      </c>
      <c r="G17" s="39" t="s">
        <v>428</v>
      </c>
      <c r="H17" s="30"/>
    </row>
    <row r="18">
      <c r="A18" s="31" t="s">
        <v>429</v>
      </c>
      <c r="B18" s="34">
        <v>118.0</v>
      </c>
      <c r="C18" s="34">
        <v>0.0</v>
      </c>
      <c r="D18" s="34">
        <v>0.0</v>
      </c>
      <c r="E18" s="34">
        <v>0.0</v>
      </c>
      <c r="F18" s="37">
        <v>1.0</v>
      </c>
      <c r="G18" s="39" t="s">
        <v>431</v>
      </c>
      <c r="H18" s="30"/>
    </row>
    <row r="19">
      <c r="A19" s="31" t="s">
        <v>432</v>
      </c>
      <c r="B19" s="34">
        <v>7.0</v>
      </c>
      <c r="C19" s="34">
        <v>0.0</v>
      </c>
      <c r="D19" s="34">
        <v>0.0</v>
      </c>
      <c r="E19" s="34">
        <v>0.0</v>
      </c>
      <c r="F19" s="37">
        <v>1.0</v>
      </c>
      <c r="G19" s="39" t="s">
        <v>433</v>
      </c>
      <c r="H19" s="30"/>
    </row>
    <row r="20">
      <c r="A20" s="31" t="s">
        <v>435</v>
      </c>
      <c r="B20" s="34">
        <v>128.0</v>
      </c>
      <c r="C20" s="34">
        <v>26.0</v>
      </c>
      <c r="D20" s="34">
        <v>36.0</v>
      </c>
      <c r="E20" s="34">
        <v>12.0</v>
      </c>
      <c r="F20" s="37">
        <v>0.72</v>
      </c>
      <c r="G20" s="39" t="s">
        <v>436</v>
      </c>
      <c r="H20" s="30"/>
    </row>
    <row r="21">
      <c r="A21" s="31" t="s">
        <v>437</v>
      </c>
      <c r="B21" s="34">
        <v>86.0</v>
      </c>
      <c r="C21" s="34">
        <v>14.0</v>
      </c>
      <c r="D21" s="34">
        <v>16.0</v>
      </c>
      <c r="E21" s="34">
        <v>3.0</v>
      </c>
      <c r="F21" s="37">
        <v>0.77</v>
      </c>
      <c r="G21" s="39" t="s">
        <v>438</v>
      </c>
      <c r="H21" s="30"/>
    </row>
    <row r="22">
      <c r="A22" s="31" t="s">
        <v>439</v>
      </c>
      <c r="B22" s="34">
        <v>11.0</v>
      </c>
      <c r="C22" s="34">
        <v>0.0</v>
      </c>
      <c r="D22" s="34">
        <v>0.0</v>
      </c>
      <c r="E22" s="34">
        <v>0.0</v>
      </c>
      <c r="F22" s="37">
        <v>1.0</v>
      </c>
      <c r="G22" s="39" t="s">
        <v>440</v>
      </c>
      <c r="H22" s="30"/>
    </row>
    <row r="23">
      <c r="A23" s="31" t="s">
        <v>441</v>
      </c>
      <c r="B23" s="34">
        <v>793.0</v>
      </c>
      <c r="C23" s="34">
        <v>793.0</v>
      </c>
      <c r="D23" s="34">
        <v>368.0</v>
      </c>
      <c r="E23" s="34">
        <v>0.0</v>
      </c>
      <c r="F23" s="37">
        <v>0.0</v>
      </c>
      <c r="G23" s="39" t="s">
        <v>442</v>
      </c>
      <c r="H23" s="30"/>
    </row>
    <row r="24">
      <c r="A24" s="31" t="s">
        <v>443</v>
      </c>
      <c r="B24" s="34">
        <v>0.0</v>
      </c>
      <c r="C24" s="34">
        <v>0.0</v>
      </c>
      <c r="D24" s="34">
        <v>0.0</v>
      </c>
      <c r="E24" s="34">
        <v>0.0</v>
      </c>
      <c r="F24" s="37">
        <v>1.0</v>
      </c>
      <c r="G24" s="39"/>
      <c r="H24" s="30"/>
    </row>
    <row r="25">
      <c r="A25" s="31" t="s">
        <v>444</v>
      </c>
      <c r="B25" s="34">
        <v>12.0</v>
      </c>
      <c r="C25" s="34">
        <v>0.0</v>
      </c>
      <c r="D25" s="34">
        <v>0.0</v>
      </c>
      <c r="E25" s="34">
        <v>0.0</v>
      </c>
      <c r="F25" s="37">
        <v>1.0</v>
      </c>
      <c r="G25" s="39"/>
      <c r="H25" s="30"/>
    </row>
    <row r="26">
      <c r="A26" s="31" t="s">
        <v>445</v>
      </c>
      <c r="B26" s="34">
        <v>4.0</v>
      </c>
      <c r="C26" s="34">
        <v>0.0</v>
      </c>
      <c r="D26" s="34">
        <v>0.0</v>
      </c>
      <c r="E26" s="34">
        <v>0.0</v>
      </c>
      <c r="F26" s="37">
        <v>1.0</v>
      </c>
      <c r="G26" s="39"/>
      <c r="H26" s="30"/>
    </row>
    <row r="27">
      <c r="A27" s="31" t="s">
        <v>447</v>
      </c>
      <c r="B27" s="34">
        <v>85.0</v>
      </c>
      <c r="C27" s="34">
        <v>2.0</v>
      </c>
      <c r="D27" s="34">
        <v>0.0</v>
      </c>
      <c r="E27" s="34">
        <v>0.0</v>
      </c>
      <c r="F27" s="37">
        <v>0.98</v>
      </c>
      <c r="G27" s="39" t="s">
        <v>448</v>
      </c>
      <c r="H27" s="30"/>
    </row>
    <row r="28">
      <c r="A28" s="31" t="s">
        <v>451</v>
      </c>
      <c r="B28" s="34">
        <v>59.0</v>
      </c>
      <c r="C28" s="34">
        <v>1.0</v>
      </c>
      <c r="D28" s="34">
        <v>2.0</v>
      </c>
      <c r="E28" s="34">
        <v>0.0</v>
      </c>
      <c r="F28" s="37">
        <v>0.98</v>
      </c>
      <c r="G28" s="39" t="s">
        <v>452</v>
      </c>
      <c r="H28" s="30"/>
    </row>
    <row r="29">
      <c r="A29" s="31" t="s">
        <v>453</v>
      </c>
      <c r="B29" s="34">
        <v>151.0</v>
      </c>
      <c r="C29" s="34">
        <v>0.0</v>
      </c>
      <c r="D29" s="34">
        <v>2.0</v>
      </c>
      <c r="E29" s="34">
        <v>0.0</v>
      </c>
      <c r="F29" s="37">
        <v>1.0</v>
      </c>
      <c r="G29" s="39"/>
      <c r="H29" s="30"/>
    </row>
    <row r="30">
      <c r="A30" s="31" t="s">
        <v>456</v>
      </c>
      <c r="B30" s="34">
        <v>4.0</v>
      </c>
      <c r="C30" s="34">
        <v>0.0</v>
      </c>
      <c r="D30" s="34">
        <v>0.0</v>
      </c>
      <c r="E30" s="34">
        <v>0.0</v>
      </c>
      <c r="F30" s="37">
        <v>1.0</v>
      </c>
      <c r="G30" s="39"/>
      <c r="H30" s="30"/>
    </row>
    <row r="31">
      <c r="A31" s="31" t="s">
        <v>459</v>
      </c>
      <c r="B31" s="34">
        <v>365.0</v>
      </c>
      <c r="C31" s="34">
        <v>250.0</v>
      </c>
      <c r="D31" s="34">
        <v>100.0</v>
      </c>
      <c r="E31" s="34">
        <v>1.0</v>
      </c>
      <c r="F31" s="37">
        <v>0.25</v>
      </c>
      <c r="G31" s="39" t="s">
        <v>460</v>
      </c>
      <c r="H31" s="30"/>
    </row>
    <row r="32">
      <c r="A32" s="56" t="s">
        <v>408</v>
      </c>
      <c r="B32" s="57">
        <f t="shared" ref="B32:E32" si="1">sum(B3:B31)</f>
        <v>3161</v>
      </c>
      <c r="C32" s="57">
        <f t="shared" si="1"/>
        <v>1575</v>
      </c>
      <c r="D32" s="57">
        <f t="shared" si="1"/>
        <v>806</v>
      </c>
      <c r="E32" s="57">
        <f t="shared" si="1"/>
        <v>55</v>
      </c>
      <c r="F32" s="58">
        <f>AVERAGE(F3:F31)</f>
        <v>0.7489655172</v>
      </c>
      <c r="G32" s="59"/>
      <c r="H32" s="30"/>
    </row>
    <row r="33">
      <c r="A33" s="60"/>
      <c r="B33" s="60"/>
      <c r="C33" s="60"/>
      <c r="D33" s="60"/>
      <c r="E33" s="60"/>
      <c r="F33" s="60"/>
      <c r="G33" s="60"/>
    </row>
  </sheetData>
  <mergeCells count="32">
    <mergeCell ref="A1:H1"/>
    <mergeCell ref="G2:H2"/>
    <mergeCell ref="G3:H3"/>
    <mergeCell ref="G4:H4"/>
    <mergeCell ref="G5:H5"/>
    <mergeCell ref="G6:H6"/>
    <mergeCell ref="G7:H7"/>
    <mergeCell ref="G8:H8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9:H29"/>
    <mergeCell ref="G30:H30"/>
    <mergeCell ref="G31:H31"/>
    <mergeCell ref="G32:H32"/>
    <mergeCell ref="G22:H22"/>
    <mergeCell ref="G23:H23"/>
    <mergeCell ref="G24:H24"/>
    <mergeCell ref="G25:H25"/>
    <mergeCell ref="G26:H26"/>
    <mergeCell ref="G27:H27"/>
    <mergeCell ref="G28:H2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9.38"/>
  </cols>
  <sheetData>
    <row r="1">
      <c r="A1" s="23" t="s">
        <v>313</v>
      </c>
      <c r="B1" s="23"/>
      <c r="C1" s="23"/>
      <c r="D1" s="23"/>
      <c r="E1" s="23"/>
      <c r="F1" s="23"/>
      <c r="G1" s="23"/>
      <c r="H1" s="23"/>
    </row>
    <row r="2">
      <c r="A2" s="33" t="s">
        <v>317</v>
      </c>
      <c r="B2" s="25" t="s">
        <v>328</v>
      </c>
      <c r="C2" s="25" t="s">
        <v>329</v>
      </c>
      <c r="D2" s="25" t="s">
        <v>331</v>
      </c>
      <c r="E2" s="25" t="s">
        <v>332</v>
      </c>
      <c r="F2" s="25" t="s">
        <v>333</v>
      </c>
      <c r="G2" s="33" t="s">
        <v>335</v>
      </c>
      <c r="H2" s="33" t="s">
        <v>337</v>
      </c>
    </row>
    <row r="3">
      <c r="A3" s="35" t="s">
        <v>340</v>
      </c>
      <c r="B3" s="34">
        <v>10.0</v>
      </c>
      <c r="C3" s="34">
        <v>10.0</v>
      </c>
      <c r="D3" s="34">
        <v>0.0</v>
      </c>
      <c r="E3" s="34">
        <v>0.0</v>
      </c>
      <c r="F3" s="36">
        <v>1.0</v>
      </c>
      <c r="G3" s="38"/>
      <c r="H3" s="40" t="s">
        <v>348</v>
      </c>
      <c r="I3" s="42"/>
    </row>
    <row r="4">
      <c r="A4" s="43" t="s">
        <v>314</v>
      </c>
      <c r="B4" s="44">
        <v>10.0</v>
      </c>
      <c r="C4" s="44">
        <v>10.0</v>
      </c>
      <c r="D4" s="44">
        <v>0.0</v>
      </c>
      <c r="E4" s="44">
        <v>0.0</v>
      </c>
      <c r="F4" s="45">
        <v>1.0</v>
      </c>
      <c r="G4" s="46"/>
      <c r="H4" s="47" t="s">
        <v>369</v>
      </c>
      <c r="I4" s="30"/>
    </row>
    <row r="5">
      <c r="A5" s="35" t="s">
        <v>334</v>
      </c>
      <c r="B5" s="34">
        <v>15.0</v>
      </c>
      <c r="C5" s="34">
        <v>15.0</v>
      </c>
      <c r="D5" s="34">
        <v>0.0</v>
      </c>
      <c r="E5" s="34">
        <v>0.0</v>
      </c>
      <c r="F5" s="36">
        <v>1.0</v>
      </c>
      <c r="G5" s="38"/>
      <c r="H5" s="38"/>
    </row>
    <row r="6">
      <c r="A6" s="43" t="s">
        <v>385</v>
      </c>
      <c r="B6" s="44">
        <v>12.0</v>
      </c>
      <c r="C6" s="44">
        <v>10.0</v>
      </c>
      <c r="D6" s="44">
        <v>2.0</v>
      </c>
      <c r="E6" s="44">
        <v>0.0</v>
      </c>
      <c r="F6" s="45">
        <v>1.0</v>
      </c>
      <c r="G6" s="46"/>
      <c r="H6" s="46"/>
    </row>
    <row r="7">
      <c r="A7" s="35"/>
      <c r="B7" s="34"/>
      <c r="C7" s="48"/>
      <c r="D7" s="48"/>
      <c r="E7" s="48"/>
      <c r="F7" s="49"/>
      <c r="G7" s="38"/>
      <c r="H7" s="38"/>
    </row>
    <row r="8">
      <c r="A8" s="50" t="s">
        <v>408</v>
      </c>
      <c r="B8" s="52">
        <f t="shared" ref="B8:E8" si="1">sum(B3:B6)</f>
        <v>47</v>
      </c>
      <c r="C8" s="52">
        <f t="shared" si="1"/>
        <v>45</v>
      </c>
      <c r="D8" s="52">
        <f t="shared" si="1"/>
        <v>2</v>
      </c>
      <c r="E8" s="52">
        <f t="shared" si="1"/>
        <v>0</v>
      </c>
      <c r="F8" s="53">
        <f>AVERAGE(F3:F6)</f>
        <v>1</v>
      </c>
      <c r="G8" s="54"/>
      <c r="H8" s="54"/>
    </row>
  </sheetData>
  <mergeCells count="1">
    <mergeCell ref="H4:I4"/>
  </mergeCells>
  <hyperlinks>
    <hyperlink r:id="rId1" ref="H3"/>
    <hyperlink r:id="rId2" ref="H4"/>
  </hyperlinks>
  <drawing r:id="rId3"/>
</worksheet>
</file>